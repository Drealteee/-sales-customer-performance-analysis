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a92c6b4a8249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Orders" sheetId="1" r:id="Ref711ee40e144fc9"/>
    <x:sheet xmlns:r="http://schemas.openxmlformats.org/officeDocument/2006/relationships" name="Customers" sheetId="2" r:id="Ra8cc631508464387"/>
    <x:sheet xmlns:r="http://schemas.openxmlformats.org/officeDocument/2006/relationships" name="Products" sheetId="3" r:id="Reb81c88da5054a60"/>
    <x:sheet xmlns:r="http://schemas.openxmlformats.org/officeDocument/2006/relationships" name="Model" sheetId="4" r:id="Re7641616e4d54831"/>
    <x:sheet xmlns:r="http://schemas.openxmlformats.org/officeDocument/2006/relationships" name="Dashboard" sheetId="5" r:id="R7c7ce06d8ffb4373"/>
    <x:sheet xmlns:r="http://schemas.openxmlformats.org/officeDocument/2006/relationships" name="Project_Guide" sheetId="6" r:id="R3c7b6e96b7234c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%"/>
    <x:numFmt numFmtId="202" formatCode="$#,##0.00"/>
    <x:numFmt numFmtId="203" formatCode="0.0%"/>
    <x:numFmt numFmtId="204" formatCode="$#,##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7fb1d2ba9f499a" /><Relationship Type="http://schemas.openxmlformats.org/officeDocument/2006/relationships/theme" Target="/xl/theme/theme1.xml" Id="R4361d049ce634f57" /><Relationship Type="http://schemas.openxmlformats.org/officeDocument/2006/relationships/sharedStrings" Target="/xl/sharedStrings.xml" Id="Rb42c69f0acdb47f2" /><Relationship Type="http://schemas.openxmlformats.org/officeDocument/2006/relationships/worksheet" Target="/xl/worksheets/sheet1.xml" Id="Ref711ee40e144fc9" /><Relationship Type="http://schemas.openxmlformats.org/officeDocument/2006/relationships/worksheet" Target="/xl/worksheets/sheet2.xml" Id="Ra8cc631508464387" /><Relationship Type="http://schemas.openxmlformats.org/officeDocument/2006/relationships/worksheet" Target="/xl/worksheets/sheet3.xml" Id="Reb81c88da5054a60" /><Relationship Type="http://schemas.openxmlformats.org/officeDocument/2006/relationships/worksheet" Target="/xl/worksheets/sheet4.xml" Id="Re7641616e4d54831" /><Relationship Type="http://schemas.openxmlformats.org/officeDocument/2006/relationships/worksheet" Target="/xl/worksheets/sheet5.xml" Id="R7c7ce06d8ffb4373" /><Relationship Type="http://schemas.openxmlformats.org/officeDocument/2006/relationships/worksheet" Target="/xl/worksheets/sheet6.xml" Id="R3c7b6e96b7234ce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2e388d46d7349d7" /><Relationship Type="http://schemas.openxmlformats.org/officeDocument/2006/relationships/chart" Target="/xl/drawings/charts/chart2.xml" Id="R4b3f1e83cd4d482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&amp; Profit by Region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Net Sales</c:v>
          </c:tx>
          <c:cat>
            <c:strRef>
              <c:f>'Dashboard'!$D$5:$D$8</c:f>
              <c:strCache>
                <c:ptCount val="0"/>
              </c:strCache>
            </c:strRef>
          </c:cat>
          <c:val>
            <c:numRef>
              <c:f>'Dashboard'!$E$5:$E$8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'Dashboard'!$D$5:$D$8</c:f>
              <c:strCache>
                <c:ptCount val="0"/>
              </c:strCache>
            </c:strRef>
          </c:cat>
          <c:val>
            <c:numRef>
              <c:f>'Dashboard'!$F$5:$F$8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&amp; Profit by Category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Net Sales</c:v>
          </c:tx>
          <c:cat>
            <c:strRef>
              <c:f>'Dashboard'!$D$12:$D$15</c:f>
              <c:strCache>
                <c:ptCount val="0"/>
              </c:strCache>
            </c:strRef>
          </c:cat>
          <c:val>
            <c:numRef>
              <c:f>'Dashboard'!$E$12:$E$15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'Dashboard'!$D$12:$D$15</c:f>
              <c:strCache>
                <c:ptCount val="0"/>
              </c:strCache>
            </c:strRef>
          </c:cat>
          <c:val>
            <c:numRef>
              <c:f>'Dashboard'!$F$12:$F$15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15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e388d46d7349d7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15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3f1e83cd4d482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rdersTable" displayName="OrdersTable" ref="A1:G501" headerRowCount="1" totalsRowCount="0" totalsRowShown="0">
  <x:tableColumns count="7">
    <x:tableColumn id="1" name="Order_ID"/>
    <x:tableColumn id="2" name="Order_Date"/>
    <x:tableColumn id="3" name="Customer_ID"/>
    <x:tableColumn id="4" name="Product_ID"/>
    <x:tableColumn id="5" name="Quantity"/>
    <x:tableColumn id="6" name="Discount"/>
    <x:tableColumn id="7" name="Chann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sTable" displayName="CustomersTable" ref="A1:D81" headerRowCount="1" totalsRowCount="0" totalsRowShown="0">
  <x:tableColumns count="4">
    <x:tableColumn id="1" name="Customer_ID"/>
    <x:tableColumn id="2" name="Customer_Name"/>
    <x:tableColumn id="3" name="Segment"/>
    <x:tableColumn id="4" name="Reg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sTable" displayName="ProductsTable" ref="A1:E13" headerRowCount="1" totalsRowCount="0" totalsRowShown="0">
  <x:tableColumns count="5">
    <x:tableColumn id="1" name="Product_ID"/>
    <x:tableColumn id="2" name="Product_Name"/>
    <x:tableColumn id="3" name="Category"/>
    <x:tableColumn id="4" name="Unit_Price"/>
    <x:tableColumn id="5" name="Unit_Cos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alesModelTable" displayName="SalesModelTable" ref="A1:S501" headerRowCount="1" totalsRowCount="0" totalsRowShown="0">
  <x:tableColumns count="19">
    <x:tableColumn id="1" name="Order_ID"/>
    <x:tableColumn id="2" name="Order_Date"/>
    <x:tableColumn id="3" name="Customer_ID"/>
    <x:tableColumn id="4" name="Customer_Name"/>
    <x:tableColumn id="5" name="Segment"/>
    <x:tableColumn id="6" name="Region"/>
    <x:tableColumn id="7" name="Product_ID"/>
    <x:tableColumn id="8" name="Product_Name"/>
    <x:tableColumn id="9" name="Category"/>
    <x:tableColumn id="10" name="Channel"/>
    <x:tableColumn id="11" name="Quantity"/>
    <x:tableColumn id="12" name="Discount"/>
    <x:tableColumn id="13" name="Unit_Price"/>
    <x:tableColumn id="14" name="Unit_Cost"/>
    <x:tableColumn id="15" name="Gross_Sales"/>
    <x:tableColumn id="16" name="Net_Sales"/>
    <x:tableColumn id="17" name="Total_Cost"/>
    <x:tableColumn id="18" name="Profit"/>
    <x:tableColumn id="19" name="Marg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0767d61b174d7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fba2bf479f4d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52ad7ff854241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f9f78eba25141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6421adc92b904db9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15" hidden="0" customHeight="1">
      <x:c r="A1" s="5" t="str">
        <x:v>Order_ID</x:v>
      </x:c>
      <x:c r="B1" s="5" t="str">
        <x:v>Order_Date</x:v>
      </x:c>
      <x:c r="C1" s="5" t="str">
        <x:v>Customer_ID</x:v>
      </x:c>
      <x:c r="D1" s="5" t="str">
        <x:v>Product_ID</x:v>
      </x:c>
      <x:c r="E1" s="5" t="str">
        <x:v>Quantity</x:v>
      </x:c>
      <x:c r="F1" s="5" t="str">
        <x:v>Discount</x:v>
      </x:c>
      <x:c r="G1" s="5" t="str">
        <x:v>Channel</x:v>
      </x:c>
    </x:row>
    <x:row r="2" ht="15" hidden="0" customHeight="1">
      <x:c r="A2" t="str">
        <x:v>O0001</x:v>
      </x:c>
      <x:c r="B2" s="10" t="n">
        <x:v>45985</x:v>
      </x:c>
      <x:c r="C2" t="str">
        <x:v>C015</x:v>
      </x:c>
      <x:c r="D2" t="str">
        <x:v>P001</x:v>
      </x:c>
      <x:c r="E2" t="n">
        <x:v>6</x:v>
      </x:c>
      <x:c r="F2" s="12" t="n">
        <x:v>0</x:v>
      </x:c>
      <x:c r="G2" t="str">
        <x:v>Online</x:v>
      </x:c>
    </x:row>
    <x:row r="3" ht="15" hidden="0" customHeight="1">
      <x:c r="A3" t="str">
        <x:v>O0002</x:v>
      </x:c>
      <x:c r="B3" s="10" t="n">
        <x:v>45772</x:v>
      </x:c>
      <x:c r="C3" t="str">
        <x:v>C018</x:v>
      </x:c>
      <x:c r="D3" t="str">
        <x:v>P012</x:v>
      </x:c>
      <x:c r="E3" t="n">
        <x:v>1</x:v>
      </x:c>
      <x:c r="F3" s="12" t="n">
        <x:v>0.15</x:v>
      </x:c>
      <x:c r="G3" t="str">
        <x:v>Partner</x:v>
      </x:c>
    </x:row>
    <x:row r="4" ht="15" hidden="0" customHeight="1">
      <x:c r="A4" t="str">
        <x:v>O0003</x:v>
      </x:c>
      <x:c r="B4" s="10" t="n">
        <x:v>45937</x:v>
      </x:c>
      <x:c r="C4" t="str">
        <x:v>C012</x:v>
      </x:c>
      <x:c r="D4" t="str">
        <x:v>P010</x:v>
      </x:c>
      <x:c r="E4" t="n">
        <x:v>4</x:v>
      </x:c>
      <x:c r="F4" s="12" t="n">
        <x:v>0</x:v>
      </x:c>
      <x:c r="G4" t="str">
        <x:v>Online</x:v>
      </x:c>
    </x:row>
    <x:row r="5" ht="15" hidden="0" customHeight="1">
      <x:c r="A5" t="str">
        <x:v>O0004</x:v>
      </x:c>
      <x:c r="B5" s="10" t="n">
        <x:v>45705</x:v>
      </x:c>
      <x:c r="C5" t="str">
        <x:v>C028</x:v>
      </x:c>
      <x:c r="D5" t="str">
        <x:v>P004</x:v>
      </x:c>
      <x:c r="E5" t="n">
        <x:v>5</x:v>
      </x:c>
      <x:c r="F5" s="12" t="n">
        <x:v>0.1</x:v>
      </x:c>
      <x:c r="G5" t="str">
        <x:v>Online</x:v>
      </x:c>
    </x:row>
    <x:row r="6" ht="15" hidden="0" customHeight="1">
      <x:c r="A6" t="str">
        <x:v>O0005</x:v>
      </x:c>
      <x:c r="B6" s="10" t="n">
        <x:v>45945</x:v>
      </x:c>
      <x:c r="C6" t="str">
        <x:v>C026</x:v>
      </x:c>
      <x:c r="D6" t="str">
        <x:v>P012</x:v>
      </x:c>
      <x:c r="E6" t="n">
        <x:v>6</x:v>
      </x:c>
      <x:c r="F6" s="12" t="n">
        <x:v>0.15</x:v>
      </x:c>
      <x:c r="G6" t="str">
        <x:v>Partner</x:v>
      </x:c>
    </x:row>
    <x:row r="7" ht="15" hidden="0" customHeight="1">
      <x:c r="A7" t="str">
        <x:v>O0006</x:v>
      </x:c>
      <x:c r="B7" s="10" t="n">
        <x:v>45872</x:v>
      </x:c>
      <x:c r="C7" t="str">
        <x:v>C029</x:v>
      </x:c>
      <x:c r="D7" t="str">
        <x:v>P008</x:v>
      </x:c>
      <x:c r="E7" t="n">
        <x:v>5</x:v>
      </x:c>
      <x:c r="F7" s="12" t="n">
        <x:v>0</x:v>
      </x:c>
      <x:c r="G7" t="str">
        <x:v>Online</x:v>
      </x:c>
    </x:row>
    <x:row r="8" ht="15" hidden="0" customHeight="1">
      <x:c r="A8" t="str">
        <x:v>O0007</x:v>
      </x:c>
      <x:c r="B8" s="10" t="n">
        <x:v>45739</x:v>
      </x:c>
      <x:c r="C8" t="str">
        <x:v>C055</x:v>
      </x:c>
      <x:c r="D8" t="str">
        <x:v>P006</x:v>
      </x:c>
      <x:c r="E8" t="n">
        <x:v>3</x:v>
      </x:c>
      <x:c r="F8" s="12" t="n">
        <x:v>0</x:v>
      </x:c>
      <x:c r="G8" t="str">
        <x:v>Online</x:v>
      </x:c>
    </x:row>
    <x:row r="9" ht="15" hidden="0" customHeight="1">
      <x:c r="A9" t="str">
        <x:v>O0008</x:v>
      </x:c>
      <x:c r="B9" s="10" t="n">
        <x:v>45830</x:v>
      </x:c>
      <x:c r="C9" t="str">
        <x:v>C014</x:v>
      </x:c>
      <x:c r="D9" t="str">
        <x:v>P002</x:v>
      </x:c>
      <x:c r="E9" t="n">
        <x:v>4</x:v>
      </x:c>
      <x:c r="F9" s="12" t="n">
        <x:v>0</x:v>
      </x:c>
      <x:c r="G9" t="str">
        <x:v>Retail</x:v>
      </x:c>
    </x:row>
    <x:row r="10" ht="15" hidden="0" customHeight="1">
      <x:c r="A10" t="str">
        <x:v>O0009</x:v>
      </x:c>
      <x:c r="B10" s="10" t="n">
        <x:v>45834</x:v>
      </x:c>
      <x:c r="C10" t="str">
        <x:v>C078</x:v>
      </x:c>
      <x:c r="D10" t="str">
        <x:v>P005</x:v>
      </x:c>
      <x:c r="E10" t="n">
        <x:v>1</x:v>
      </x:c>
      <x:c r="F10" s="12" t="n">
        <x:v>0.15</x:v>
      </x:c>
      <x:c r="G10" t="str">
        <x:v>Retail</x:v>
      </x:c>
    </x:row>
    <x:row r="11" ht="15" hidden="0" customHeight="1">
      <x:c r="A11" t="str">
        <x:v>O0010</x:v>
      </x:c>
      <x:c r="B11" s="10" t="n">
        <x:v>45932</x:v>
      </x:c>
      <x:c r="C11" t="str">
        <x:v>C016</x:v>
      </x:c>
      <x:c r="D11" t="str">
        <x:v>P007</x:v>
      </x:c>
      <x:c r="E11" t="n">
        <x:v>1</x:v>
      </x:c>
      <x:c r="F11" s="12" t="n">
        <x:v>0.1</x:v>
      </x:c>
      <x:c r="G11" t="str">
        <x:v>Retail</x:v>
      </x:c>
    </x:row>
    <x:row r="12" ht="15" hidden="0" customHeight="1">
      <x:c r="A12" t="str">
        <x:v>O0011</x:v>
      </x:c>
      <x:c r="B12" s="10" t="n">
        <x:v>45979</x:v>
      </x:c>
      <x:c r="C12" t="str">
        <x:v>C080</x:v>
      </x:c>
      <x:c r="D12" t="str">
        <x:v>P006</x:v>
      </x:c>
      <x:c r="E12" t="n">
        <x:v>5</x:v>
      </x:c>
      <x:c r="F12" s="12" t="n">
        <x:v>0</x:v>
      </x:c>
      <x:c r="G12" t="str">
        <x:v>Partner</x:v>
      </x:c>
    </x:row>
    <x:row r="13" ht="15" hidden="0" customHeight="1">
      <x:c r="A13" t="str">
        <x:v>O0012</x:v>
      </x:c>
      <x:c r="B13" s="10" t="n">
        <x:v>45693</x:v>
      </x:c>
      <x:c r="C13" t="str">
        <x:v>C006</x:v>
      </x:c>
      <x:c r="D13" t="str">
        <x:v>P011</x:v>
      </x:c>
      <x:c r="E13" t="n">
        <x:v>2</x:v>
      </x:c>
      <x:c r="F13" s="12" t="n">
        <x:v>0</x:v>
      </x:c>
      <x:c r="G13" t="str">
        <x:v>Online</x:v>
      </x:c>
    </x:row>
    <x:row r="14" ht="15" hidden="0" customHeight="1">
      <x:c r="A14" t="str">
        <x:v>O0013</x:v>
      </x:c>
      <x:c r="B14" s="10" t="n">
        <x:v>45777</x:v>
      </x:c>
      <x:c r="C14" t="str">
        <x:v>C013</x:v>
      </x:c>
      <x:c r="D14" t="str">
        <x:v>P007</x:v>
      </x:c>
      <x:c r="E14" t="n">
        <x:v>3</x:v>
      </x:c>
      <x:c r="F14" s="12" t="n">
        <x:v>0.05</x:v>
      </x:c>
      <x:c r="G14" t="str">
        <x:v>Partner</x:v>
      </x:c>
    </x:row>
    <x:row r="15" ht="15" hidden="0" customHeight="1">
      <x:c r="A15" t="str">
        <x:v>O0014</x:v>
      </x:c>
      <x:c r="B15" s="10" t="n">
        <x:v>45844</x:v>
      </x:c>
      <x:c r="C15" t="str">
        <x:v>C021</x:v>
      </x:c>
      <x:c r="D15" t="str">
        <x:v>P006</x:v>
      </x:c>
      <x:c r="E15" t="n">
        <x:v>3</x:v>
      </x:c>
      <x:c r="F15" s="12" t="n">
        <x:v>0</x:v>
      </x:c>
      <x:c r="G15" t="str">
        <x:v>Partner</x:v>
      </x:c>
    </x:row>
    <x:row r="16" ht="15" hidden="0" customHeight="1">
      <x:c r="A16" t="str">
        <x:v>O0015</x:v>
      </x:c>
      <x:c r="B16" s="10" t="n">
        <x:v>45794</x:v>
      </x:c>
      <x:c r="C16" t="str">
        <x:v>C010</x:v>
      </x:c>
      <x:c r="D16" t="str">
        <x:v>P010</x:v>
      </x:c>
      <x:c r="E16" t="n">
        <x:v>6</x:v>
      </x:c>
      <x:c r="F16" s="12" t="n">
        <x:v>0</x:v>
      </x:c>
      <x:c r="G16" t="str">
        <x:v>Partner</x:v>
      </x:c>
    </x:row>
    <x:row r="17" ht="15" hidden="0" customHeight="1">
      <x:c r="A17" t="str">
        <x:v>O0016</x:v>
      </x:c>
      <x:c r="B17" s="10" t="n">
        <x:v>45783</x:v>
      </x:c>
      <x:c r="C17" t="str">
        <x:v>C021</x:v>
      </x:c>
      <x:c r="D17" t="str">
        <x:v>P008</x:v>
      </x:c>
      <x:c r="E17" t="n">
        <x:v>4</x:v>
      </x:c>
      <x:c r="F17" s="12" t="n">
        <x:v>0</x:v>
      </x:c>
      <x:c r="G17" t="str">
        <x:v>Partner</x:v>
      </x:c>
    </x:row>
    <x:row r="18" ht="15" hidden="0" customHeight="1">
      <x:c r="A18" t="str">
        <x:v>O0017</x:v>
      </x:c>
      <x:c r="B18" s="10" t="n">
        <x:v>46010</x:v>
      </x:c>
      <x:c r="C18" t="str">
        <x:v>C072</x:v>
      </x:c>
      <x:c r="D18" t="str">
        <x:v>P004</x:v>
      </x:c>
      <x:c r="E18" t="n">
        <x:v>6</x:v>
      </x:c>
      <x:c r="F18" s="12" t="n">
        <x:v>0</x:v>
      </x:c>
      <x:c r="G18" t="str">
        <x:v>Online</x:v>
      </x:c>
    </x:row>
    <x:row r="19" ht="15" hidden="0" customHeight="1">
      <x:c r="A19" t="str">
        <x:v>O0018</x:v>
      </x:c>
      <x:c r="B19" s="10" t="n">
        <x:v>45775</x:v>
      </x:c>
      <x:c r="C19" t="str">
        <x:v>C005</x:v>
      </x:c>
      <x:c r="D19" t="str">
        <x:v>P006</x:v>
      </x:c>
      <x:c r="E19" t="n">
        <x:v>4</x:v>
      </x:c>
      <x:c r="F19" s="12" t="n">
        <x:v>0</x:v>
      </x:c>
      <x:c r="G19" t="str">
        <x:v>Online</x:v>
      </x:c>
    </x:row>
    <x:row r="20" ht="15" hidden="0" customHeight="1">
      <x:c r="A20" t="str">
        <x:v>O0019</x:v>
      </x:c>
      <x:c r="B20" s="10" t="n">
        <x:v>45766</x:v>
      </x:c>
      <x:c r="C20" t="str">
        <x:v>C073</x:v>
      </x:c>
      <x:c r="D20" t="str">
        <x:v>P012</x:v>
      </x:c>
      <x:c r="E20" t="n">
        <x:v>3</x:v>
      </x:c>
      <x:c r="F20" s="12" t="n">
        <x:v>0</x:v>
      </x:c>
      <x:c r="G20" t="str">
        <x:v>Partner</x:v>
      </x:c>
    </x:row>
    <x:row r="21" ht="15" hidden="0" customHeight="1">
      <x:c r="A21" t="str">
        <x:v>O0020</x:v>
      </x:c>
      <x:c r="B21" s="10" t="n">
        <x:v>45913</x:v>
      </x:c>
      <x:c r="C21" t="str">
        <x:v>C051</x:v>
      </x:c>
      <x:c r="D21" t="str">
        <x:v>P011</x:v>
      </x:c>
      <x:c r="E21" t="n">
        <x:v>4</x:v>
      </x:c>
      <x:c r="F21" s="12" t="n">
        <x:v>0</x:v>
      </x:c>
      <x:c r="G21" t="str">
        <x:v>Retail</x:v>
      </x:c>
    </x:row>
    <x:row r="22" ht="15" hidden="0" customHeight="1">
      <x:c r="A22" t="str">
        <x:v>O0021</x:v>
      </x:c>
      <x:c r="B22" s="10" t="n">
        <x:v>45729</x:v>
      </x:c>
      <x:c r="C22" t="str">
        <x:v>C032</x:v>
      </x:c>
      <x:c r="D22" t="str">
        <x:v>P012</x:v>
      </x:c>
      <x:c r="E22" t="n">
        <x:v>5</x:v>
      </x:c>
      <x:c r="F22" s="12" t="n">
        <x:v>0.1</x:v>
      </x:c>
      <x:c r="G22" t="str">
        <x:v>Retail</x:v>
      </x:c>
    </x:row>
    <x:row r="23" ht="15" hidden="0" customHeight="1">
      <x:c r="A23" t="str">
        <x:v>O0022</x:v>
      </x:c>
      <x:c r="B23" s="10" t="n">
        <x:v>45957</x:v>
      </x:c>
      <x:c r="C23" t="str">
        <x:v>C055</x:v>
      </x:c>
      <x:c r="D23" t="str">
        <x:v>P010</x:v>
      </x:c>
      <x:c r="E23" t="n">
        <x:v>4</x:v>
      </x:c>
      <x:c r="F23" s="12" t="n">
        <x:v>0</x:v>
      </x:c>
      <x:c r="G23" t="str">
        <x:v>Online</x:v>
      </x:c>
    </x:row>
    <x:row r="24" ht="15" hidden="0" customHeight="1">
      <x:c r="A24" t="str">
        <x:v>O0023</x:v>
      </x:c>
      <x:c r="B24" s="10" t="n">
        <x:v>45728</x:v>
      </x:c>
      <x:c r="C24" t="str">
        <x:v>C066</x:v>
      </x:c>
      <x:c r="D24" t="str">
        <x:v>P008</x:v>
      </x:c>
      <x:c r="E24" t="n">
        <x:v>1</x:v>
      </x:c>
      <x:c r="F24" s="12" t="n">
        <x:v>0</x:v>
      </x:c>
      <x:c r="G24" t="str">
        <x:v>Online</x:v>
      </x:c>
    </x:row>
    <x:row r="25" ht="15" hidden="0" customHeight="1">
      <x:c r="A25" t="str">
        <x:v>O0024</x:v>
      </x:c>
      <x:c r="B25" s="10" t="n">
        <x:v>45736</x:v>
      </x:c>
      <x:c r="C25" t="str">
        <x:v>C021</x:v>
      </x:c>
      <x:c r="D25" t="str">
        <x:v>P011</x:v>
      </x:c>
      <x:c r="E25" t="n">
        <x:v>4</x:v>
      </x:c>
      <x:c r="F25" s="12" t="n">
        <x:v>0.1</x:v>
      </x:c>
      <x:c r="G25" t="str">
        <x:v>Online</x:v>
      </x:c>
    </x:row>
    <x:row r="26" ht="15" hidden="0" customHeight="1">
      <x:c r="A26" t="str">
        <x:v>O0025</x:v>
      </x:c>
      <x:c r="B26" s="10" t="n">
        <x:v>45855</x:v>
      </x:c>
      <x:c r="C26" t="str">
        <x:v>C049</x:v>
      </x:c>
      <x:c r="D26" t="str">
        <x:v>P010</x:v>
      </x:c>
      <x:c r="E26" t="n">
        <x:v>4</x:v>
      </x:c>
      <x:c r="F26" s="12" t="n">
        <x:v>0.1</x:v>
      </x:c>
      <x:c r="G26" t="str">
        <x:v>Retail</x:v>
      </x:c>
    </x:row>
    <x:row r="27" ht="15" hidden="0" customHeight="1">
      <x:c r="A27" t="str">
        <x:v>O0026</x:v>
      </x:c>
      <x:c r="B27" s="10" t="n">
        <x:v>45941</x:v>
      </x:c>
      <x:c r="C27" t="str">
        <x:v>C002</x:v>
      </x:c>
      <x:c r="D27" t="str">
        <x:v>P011</x:v>
      </x:c>
      <x:c r="E27" t="n">
        <x:v>6</x:v>
      </x:c>
      <x:c r="F27" s="12" t="n">
        <x:v>0</x:v>
      </x:c>
      <x:c r="G27" t="str">
        <x:v>Partner</x:v>
      </x:c>
    </x:row>
    <x:row r="28" ht="15" hidden="0" customHeight="1">
      <x:c r="A28" t="str">
        <x:v>O0027</x:v>
      </x:c>
      <x:c r="B28" s="10" t="n">
        <x:v>45932</x:v>
      </x:c>
      <x:c r="C28" t="str">
        <x:v>C035</x:v>
      </x:c>
      <x:c r="D28" t="str">
        <x:v>P011</x:v>
      </x:c>
      <x:c r="E28" t="n">
        <x:v>3</x:v>
      </x:c>
      <x:c r="F28" s="12" t="n">
        <x:v>0</x:v>
      </x:c>
      <x:c r="G28" t="str">
        <x:v>Retail</x:v>
      </x:c>
    </x:row>
    <x:row r="29" ht="15" hidden="0" customHeight="1">
      <x:c r="A29" t="str">
        <x:v>O0028</x:v>
      </x:c>
      <x:c r="B29" s="10" t="n">
        <x:v>45880</x:v>
      </x:c>
      <x:c r="C29" t="str">
        <x:v>C021</x:v>
      </x:c>
      <x:c r="D29" t="str">
        <x:v>P008</x:v>
      </x:c>
      <x:c r="E29" t="n">
        <x:v>1</x:v>
      </x:c>
      <x:c r="F29" s="12" t="n">
        <x:v>0.15</x:v>
      </x:c>
      <x:c r="G29" t="str">
        <x:v>Partner</x:v>
      </x:c>
    </x:row>
    <x:row r="30" ht="15" hidden="0" customHeight="1">
      <x:c r="A30" t="str">
        <x:v>O0029</x:v>
      </x:c>
      <x:c r="B30" s="10" t="n">
        <x:v>45792</x:v>
      </x:c>
      <x:c r="C30" t="str">
        <x:v>C065</x:v>
      </x:c>
      <x:c r="D30" t="str">
        <x:v>P003</x:v>
      </x:c>
      <x:c r="E30" t="n">
        <x:v>5</x:v>
      </x:c>
      <x:c r="F30" s="12" t="n">
        <x:v>0</x:v>
      </x:c>
      <x:c r="G30" t="str">
        <x:v>Partner</x:v>
      </x:c>
    </x:row>
    <x:row r="31" ht="15" hidden="0" customHeight="1">
      <x:c r="A31" t="str">
        <x:v>O0030</x:v>
      </x:c>
      <x:c r="B31" s="10" t="n">
        <x:v>45810</x:v>
      </x:c>
      <x:c r="C31" t="str">
        <x:v>C065</x:v>
      </x:c>
      <x:c r="D31" t="str">
        <x:v>P010</x:v>
      </x:c>
      <x:c r="E31" t="n">
        <x:v>2</x:v>
      </x:c>
      <x:c r="F31" s="12" t="n">
        <x:v>0</x:v>
      </x:c>
      <x:c r="G31" t="str">
        <x:v>Retail</x:v>
      </x:c>
    </x:row>
    <x:row r="32" ht="15" hidden="0" customHeight="1">
      <x:c r="A32" t="str">
        <x:v>O0031</x:v>
      </x:c>
      <x:c r="B32" s="10" t="n">
        <x:v>45740</x:v>
      </x:c>
      <x:c r="C32" t="str">
        <x:v>C070</x:v>
      </x:c>
      <x:c r="D32" t="str">
        <x:v>P009</x:v>
      </x:c>
      <x:c r="E32" t="n">
        <x:v>1</x:v>
      </x:c>
      <x:c r="F32" s="12" t="n">
        <x:v>0.1</x:v>
      </x:c>
      <x:c r="G32" t="str">
        <x:v>Retail</x:v>
      </x:c>
    </x:row>
    <x:row r="33" ht="15" hidden="0" customHeight="1">
      <x:c r="A33" t="str">
        <x:v>O0032</x:v>
      </x:c>
      <x:c r="B33" s="10" t="n">
        <x:v>45908</x:v>
      </x:c>
      <x:c r="C33" t="str">
        <x:v>C003</x:v>
      </x:c>
      <x:c r="D33" t="str">
        <x:v>P002</x:v>
      </x:c>
      <x:c r="E33" t="n">
        <x:v>3</x:v>
      </x:c>
      <x:c r="F33" s="12" t="n">
        <x:v>0</x:v>
      </x:c>
      <x:c r="G33" t="str">
        <x:v>Online</x:v>
      </x:c>
    </x:row>
    <x:row r="34" ht="15" hidden="0" customHeight="1">
      <x:c r="A34" t="str">
        <x:v>O0033</x:v>
      </x:c>
      <x:c r="B34" s="10" t="n">
        <x:v>45687</x:v>
      </x:c>
      <x:c r="C34" t="str">
        <x:v>C031</x:v>
      </x:c>
      <x:c r="D34" t="str">
        <x:v>P010</x:v>
      </x:c>
      <x:c r="E34" t="n">
        <x:v>1</x:v>
      </x:c>
      <x:c r="F34" s="12" t="n">
        <x:v>0</x:v>
      </x:c>
      <x:c r="G34" t="str">
        <x:v>Partner</x:v>
      </x:c>
    </x:row>
    <x:row r="35" ht="15" hidden="0" customHeight="1">
      <x:c r="A35" t="str">
        <x:v>O0034</x:v>
      </x:c>
      <x:c r="B35" s="10" t="n">
        <x:v>45906</x:v>
      </x:c>
      <x:c r="C35" t="str">
        <x:v>C009</x:v>
      </x:c>
      <x:c r="D35" t="str">
        <x:v>P009</x:v>
      </x:c>
      <x:c r="E35" t="n">
        <x:v>2</x:v>
      </x:c>
      <x:c r="F35" s="12" t="n">
        <x:v>0</x:v>
      </x:c>
      <x:c r="G35" t="str">
        <x:v>Partner</x:v>
      </x:c>
    </x:row>
    <x:row r="36" ht="15" hidden="0" customHeight="1">
      <x:c r="A36" t="str">
        <x:v>O0035</x:v>
      </x:c>
      <x:c r="B36" s="10" t="n">
        <x:v>45901</x:v>
      </x:c>
      <x:c r="C36" t="str">
        <x:v>C071</x:v>
      </x:c>
      <x:c r="D36" t="str">
        <x:v>P003</x:v>
      </x:c>
      <x:c r="E36" t="n">
        <x:v>3</x:v>
      </x:c>
      <x:c r="F36" s="12" t="n">
        <x:v>0.1</x:v>
      </x:c>
      <x:c r="G36" t="str">
        <x:v>Partner</x:v>
      </x:c>
    </x:row>
    <x:row r="37" ht="15" hidden="0" customHeight="1">
      <x:c r="A37" t="str">
        <x:v>O0036</x:v>
      </x:c>
      <x:c r="B37" s="10" t="n">
        <x:v>45874</x:v>
      </x:c>
      <x:c r="C37" t="str">
        <x:v>C028</x:v>
      </x:c>
      <x:c r="D37" t="str">
        <x:v>P009</x:v>
      </x:c>
      <x:c r="E37" t="n">
        <x:v>6</x:v>
      </x:c>
      <x:c r="F37" s="12" t="n">
        <x:v>0.15</x:v>
      </x:c>
      <x:c r="G37" t="str">
        <x:v>Online</x:v>
      </x:c>
    </x:row>
    <x:row r="38" ht="15" hidden="0" customHeight="1">
      <x:c r="A38" t="str">
        <x:v>O0037</x:v>
      </x:c>
      <x:c r="B38" s="10" t="n">
        <x:v>45817</x:v>
      </x:c>
      <x:c r="C38" t="str">
        <x:v>C052</x:v>
      </x:c>
      <x:c r="D38" t="str">
        <x:v>P011</x:v>
      </x:c>
      <x:c r="E38" t="n">
        <x:v>6</x:v>
      </x:c>
      <x:c r="F38" s="12" t="n">
        <x:v>0</x:v>
      </x:c>
      <x:c r="G38" t="str">
        <x:v>Retail</x:v>
      </x:c>
    </x:row>
    <x:row r="39" ht="15" hidden="0" customHeight="1">
      <x:c r="A39" t="str">
        <x:v>O0038</x:v>
      </x:c>
      <x:c r="B39" s="10" t="n">
        <x:v>45922</x:v>
      </x:c>
      <x:c r="C39" t="str">
        <x:v>C058</x:v>
      </x:c>
      <x:c r="D39" t="str">
        <x:v>P002</x:v>
      </x:c>
      <x:c r="E39" t="n">
        <x:v>2</x:v>
      </x:c>
      <x:c r="F39" s="12" t="n">
        <x:v>0</x:v>
      </x:c>
      <x:c r="G39" t="str">
        <x:v>Online</x:v>
      </x:c>
    </x:row>
    <x:row r="40" ht="15" hidden="0" customHeight="1">
      <x:c r="A40" t="str">
        <x:v>O0039</x:v>
      </x:c>
      <x:c r="B40" s="10" t="n">
        <x:v>45831</x:v>
      </x:c>
      <x:c r="C40" t="str">
        <x:v>C003</x:v>
      </x:c>
      <x:c r="D40" t="str">
        <x:v>P010</x:v>
      </x:c>
      <x:c r="E40" t="n">
        <x:v>5</x:v>
      </x:c>
      <x:c r="F40" s="12" t="n">
        <x:v>0</x:v>
      </x:c>
      <x:c r="G40" t="str">
        <x:v>Partner</x:v>
      </x:c>
    </x:row>
    <x:row r="41" ht="15" hidden="0" customHeight="1">
      <x:c r="A41" t="str">
        <x:v>O0040</x:v>
      </x:c>
      <x:c r="B41" s="10" t="n">
        <x:v>45770</x:v>
      </x:c>
      <x:c r="C41" t="str">
        <x:v>C001</x:v>
      </x:c>
      <x:c r="D41" t="str">
        <x:v>P002</x:v>
      </x:c>
      <x:c r="E41" t="n">
        <x:v>6</x:v>
      </x:c>
      <x:c r="F41" s="12" t="n">
        <x:v>0.15</x:v>
      </x:c>
      <x:c r="G41" t="str">
        <x:v>Online</x:v>
      </x:c>
    </x:row>
    <x:row r="42" ht="15" hidden="0" customHeight="1">
      <x:c r="A42" t="str">
        <x:v>O0041</x:v>
      </x:c>
      <x:c r="B42" s="10" t="n">
        <x:v>45775</x:v>
      </x:c>
      <x:c r="C42" t="str">
        <x:v>C009</x:v>
      </x:c>
      <x:c r="D42" t="str">
        <x:v>P001</x:v>
      </x:c>
      <x:c r="E42" t="n">
        <x:v>3</x:v>
      </x:c>
      <x:c r="F42" s="12" t="n">
        <x:v>0</x:v>
      </x:c>
      <x:c r="G42" t="str">
        <x:v>Partner</x:v>
      </x:c>
    </x:row>
    <x:row r="43" ht="15" hidden="0" customHeight="1">
      <x:c r="A43" t="str">
        <x:v>O0042</x:v>
      </x:c>
      <x:c r="B43" s="10" t="n">
        <x:v>45779</x:v>
      </x:c>
      <x:c r="C43" t="str">
        <x:v>C036</x:v>
      </x:c>
      <x:c r="D43" t="str">
        <x:v>P011</x:v>
      </x:c>
      <x:c r="E43" t="n">
        <x:v>4</x:v>
      </x:c>
      <x:c r="F43" s="12" t="n">
        <x:v>0</x:v>
      </x:c>
      <x:c r="G43" t="str">
        <x:v>Partner</x:v>
      </x:c>
    </x:row>
    <x:row r="44" ht="15" hidden="0" customHeight="1">
      <x:c r="A44" t="str">
        <x:v>O0043</x:v>
      </x:c>
      <x:c r="B44" s="10" t="n">
        <x:v>45725</x:v>
      </x:c>
      <x:c r="C44" t="str">
        <x:v>C074</x:v>
      </x:c>
      <x:c r="D44" t="str">
        <x:v>P010</x:v>
      </x:c>
      <x:c r="E44" t="n">
        <x:v>4</x:v>
      </x:c>
      <x:c r="F44" s="12" t="n">
        <x:v>0</x:v>
      </x:c>
      <x:c r="G44" t="str">
        <x:v>Retail</x:v>
      </x:c>
    </x:row>
    <x:row r="45" ht="15" hidden="0" customHeight="1">
      <x:c r="A45" t="str">
        <x:v>O0044</x:v>
      </x:c>
      <x:c r="B45" s="10" t="n">
        <x:v>45866</x:v>
      </x:c>
      <x:c r="C45" t="str">
        <x:v>C025</x:v>
      </x:c>
      <x:c r="D45" t="str">
        <x:v>P002</x:v>
      </x:c>
      <x:c r="E45" t="n">
        <x:v>1</x:v>
      </x:c>
      <x:c r="F45" s="12" t="n">
        <x:v>0.15</x:v>
      </x:c>
      <x:c r="G45" t="str">
        <x:v>Retail</x:v>
      </x:c>
    </x:row>
    <x:row r="46" ht="15" hidden="0" customHeight="1">
      <x:c r="A46" t="str">
        <x:v>O0045</x:v>
      </x:c>
      <x:c r="B46" s="10" t="n">
        <x:v>45839</x:v>
      </x:c>
      <x:c r="C46" t="str">
        <x:v>C055</x:v>
      </x:c>
      <x:c r="D46" t="str">
        <x:v>P007</x:v>
      </x:c>
      <x:c r="E46" t="n">
        <x:v>4</x:v>
      </x:c>
      <x:c r="F46" s="12" t="n">
        <x:v>0.15</x:v>
      </x:c>
      <x:c r="G46" t="str">
        <x:v>Online</x:v>
      </x:c>
    </x:row>
    <x:row r="47" ht="15" hidden="0" customHeight="1">
      <x:c r="A47" t="str">
        <x:v>O0046</x:v>
      </x:c>
      <x:c r="B47" s="10" t="n">
        <x:v>46002</x:v>
      </x:c>
      <x:c r="C47" t="str">
        <x:v>C013</x:v>
      </x:c>
      <x:c r="D47" t="str">
        <x:v>P001</x:v>
      </x:c>
      <x:c r="E47" t="n">
        <x:v>4</x:v>
      </x:c>
      <x:c r="F47" s="12" t="n">
        <x:v>0.15</x:v>
      </x:c>
      <x:c r="G47" t="str">
        <x:v>Retail</x:v>
      </x:c>
    </x:row>
    <x:row r="48" ht="15" hidden="0" customHeight="1">
      <x:c r="A48" t="str">
        <x:v>O0047</x:v>
      </x:c>
      <x:c r="B48" s="10" t="n">
        <x:v>45713</x:v>
      </x:c>
      <x:c r="C48" t="str">
        <x:v>C032</x:v>
      </x:c>
      <x:c r="D48" t="str">
        <x:v>P004</x:v>
      </x:c>
      <x:c r="E48" t="n">
        <x:v>2</x:v>
      </x:c>
      <x:c r="F48" s="12" t="n">
        <x:v>0.1</x:v>
      </x:c>
      <x:c r="G48" t="str">
        <x:v>Retail</x:v>
      </x:c>
    </x:row>
    <x:row r="49" ht="15" hidden="0" customHeight="1">
      <x:c r="A49" t="str">
        <x:v>O0048</x:v>
      </x:c>
      <x:c r="B49" s="10" t="n">
        <x:v>45729</x:v>
      </x:c>
      <x:c r="C49" t="str">
        <x:v>C055</x:v>
      </x:c>
      <x:c r="D49" t="str">
        <x:v>P003</x:v>
      </x:c>
      <x:c r="E49" t="n">
        <x:v>3</x:v>
      </x:c>
      <x:c r="F49" s="12" t="n">
        <x:v>0.05</x:v>
      </x:c>
      <x:c r="G49" t="str">
        <x:v>Online</x:v>
      </x:c>
    </x:row>
    <x:row r="50" ht="15" hidden="0" customHeight="1">
      <x:c r="A50" t="str">
        <x:v>O0049</x:v>
      </x:c>
      <x:c r="B50" s="10" t="n">
        <x:v>45696</x:v>
      </x:c>
      <x:c r="C50" t="str">
        <x:v>C057</x:v>
      </x:c>
      <x:c r="D50" t="str">
        <x:v>P009</x:v>
      </x:c>
      <x:c r="E50" t="n">
        <x:v>1</x:v>
      </x:c>
      <x:c r="F50" s="12" t="n">
        <x:v>0</x:v>
      </x:c>
      <x:c r="G50" t="str">
        <x:v>Partner</x:v>
      </x:c>
    </x:row>
    <x:row r="51" ht="15" hidden="0" customHeight="1">
      <x:c r="A51" t="str">
        <x:v>O0050</x:v>
      </x:c>
      <x:c r="B51" s="10" t="n">
        <x:v>45934</x:v>
      </x:c>
      <x:c r="C51" t="str">
        <x:v>C002</x:v>
      </x:c>
      <x:c r="D51" t="str">
        <x:v>P002</x:v>
      </x:c>
      <x:c r="E51" t="n">
        <x:v>2</x:v>
      </x:c>
      <x:c r="F51" s="12" t="n">
        <x:v>0</x:v>
      </x:c>
      <x:c r="G51" t="str">
        <x:v>Retail</x:v>
      </x:c>
    </x:row>
    <x:row r="52" ht="15" hidden="0" customHeight="1">
      <x:c r="A52" t="str">
        <x:v>O0051</x:v>
      </x:c>
      <x:c r="B52" s="10" t="n">
        <x:v>45906</x:v>
      </x:c>
      <x:c r="C52" t="str">
        <x:v>C062</x:v>
      </x:c>
      <x:c r="D52" t="str">
        <x:v>P004</x:v>
      </x:c>
      <x:c r="E52" t="n">
        <x:v>4</x:v>
      </x:c>
      <x:c r="F52" s="12" t="n">
        <x:v>0</x:v>
      </x:c>
      <x:c r="G52" t="str">
        <x:v>Online</x:v>
      </x:c>
    </x:row>
    <x:row r="53" ht="15" hidden="0" customHeight="1">
      <x:c r="A53" t="str">
        <x:v>O0052</x:v>
      </x:c>
      <x:c r="B53" s="10" t="n">
        <x:v>45852</x:v>
      </x:c>
      <x:c r="C53" t="str">
        <x:v>C001</x:v>
      </x:c>
      <x:c r="D53" t="str">
        <x:v>P007</x:v>
      </x:c>
      <x:c r="E53" t="n">
        <x:v>3</x:v>
      </x:c>
      <x:c r="F53" s="12" t="n">
        <x:v>0.05</x:v>
      </x:c>
      <x:c r="G53" t="str">
        <x:v>Retail</x:v>
      </x:c>
    </x:row>
    <x:row r="54" ht="15" hidden="0" customHeight="1">
      <x:c r="A54" t="str">
        <x:v>O0053</x:v>
      </x:c>
      <x:c r="B54" s="10" t="n">
        <x:v>45874</x:v>
      </x:c>
      <x:c r="C54" t="str">
        <x:v>C072</x:v>
      </x:c>
      <x:c r="D54" t="str">
        <x:v>P011</x:v>
      </x:c>
      <x:c r="E54" t="n">
        <x:v>6</x:v>
      </x:c>
      <x:c r="F54" s="12" t="n">
        <x:v>0.05</x:v>
      </x:c>
      <x:c r="G54" t="str">
        <x:v>Online</x:v>
      </x:c>
    </x:row>
    <x:row r="55" ht="15" hidden="0" customHeight="1">
      <x:c r="A55" t="str">
        <x:v>O0054</x:v>
      </x:c>
      <x:c r="B55" s="10" t="n">
        <x:v>45755</x:v>
      </x:c>
      <x:c r="C55" t="str">
        <x:v>C038</x:v>
      </x:c>
      <x:c r="D55" t="str">
        <x:v>P004</x:v>
      </x:c>
      <x:c r="E55" t="n">
        <x:v>1</x:v>
      </x:c>
      <x:c r="F55" s="12" t="n">
        <x:v>0.1</x:v>
      </x:c>
      <x:c r="G55" t="str">
        <x:v>Partner</x:v>
      </x:c>
    </x:row>
    <x:row r="56" ht="15" hidden="0" customHeight="1">
      <x:c r="A56" t="str">
        <x:v>O0055</x:v>
      </x:c>
      <x:c r="B56" s="10" t="n">
        <x:v>45935</x:v>
      </x:c>
      <x:c r="C56" t="str">
        <x:v>C008</x:v>
      </x:c>
      <x:c r="D56" t="str">
        <x:v>P012</x:v>
      </x:c>
      <x:c r="E56" t="n">
        <x:v>3</x:v>
      </x:c>
      <x:c r="F56" s="12" t="n">
        <x:v>0</x:v>
      </x:c>
      <x:c r="G56" t="str">
        <x:v>Online</x:v>
      </x:c>
    </x:row>
    <x:row r="57" ht="15" hidden="0" customHeight="1">
      <x:c r="A57" t="str">
        <x:v>O0056</x:v>
      </x:c>
      <x:c r="B57" s="10" t="n">
        <x:v>45957</x:v>
      </x:c>
      <x:c r="C57" t="str">
        <x:v>C062</x:v>
      </x:c>
      <x:c r="D57" t="str">
        <x:v>P009</x:v>
      </x:c>
      <x:c r="E57" t="n">
        <x:v>5</x:v>
      </x:c>
      <x:c r="F57" s="12" t="n">
        <x:v>0</x:v>
      </x:c>
      <x:c r="G57" t="str">
        <x:v>Online</x:v>
      </x:c>
    </x:row>
    <x:row r="58" ht="15" hidden="0" customHeight="1">
      <x:c r="A58" t="str">
        <x:v>O0057</x:v>
      </x:c>
      <x:c r="B58" s="10" t="n">
        <x:v>45918</x:v>
      </x:c>
      <x:c r="C58" t="str">
        <x:v>C011</x:v>
      </x:c>
      <x:c r="D58" t="str">
        <x:v>P003</x:v>
      </x:c>
      <x:c r="E58" t="n">
        <x:v>1</x:v>
      </x:c>
      <x:c r="F58" s="12" t="n">
        <x:v>0.1</x:v>
      </x:c>
      <x:c r="G58" t="str">
        <x:v>Online</x:v>
      </x:c>
    </x:row>
    <x:row r="59" ht="15" hidden="0" customHeight="1">
      <x:c r="A59" t="str">
        <x:v>O0058</x:v>
      </x:c>
      <x:c r="B59" s="10" t="n">
        <x:v>46003</x:v>
      </x:c>
      <x:c r="C59" t="str">
        <x:v>C031</x:v>
      </x:c>
      <x:c r="D59" t="str">
        <x:v>P007</x:v>
      </x:c>
      <x:c r="E59" t="n">
        <x:v>1</x:v>
      </x:c>
      <x:c r="F59" s="12" t="n">
        <x:v>0.1</x:v>
      </x:c>
      <x:c r="G59" t="str">
        <x:v>Online</x:v>
      </x:c>
    </x:row>
    <x:row r="60" ht="15" hidden="0" customHeight="1">
      <x:c r="A60" t="str">
        <x:v>O0059</x:v>
      </x:c>
      <x:c r="B60" s="10" t="n">
        <x:v>45954</x:v>
      </x:c>
      <x:c r="C60" t="str">
        <x:v>C077</x:v>
      </x:c>
      <x:c r="D60" t="str">
        <x:v>P001</x:v>
      </x:c>
      <x:c r="E60" t="n">
        <x:v>5</x:v>
      </x:c>
      <x:c r="F60" s="12" t="n">
        <x:v>0</x:v>
      </x:c>
      <x:c r="G60" t="str">
        <x:v>Retail</x:v>
      </x:c>
    </x:row>
    <x:row r="61" ht="15" hidden="0" customHeight="1">
      <x:c r="A61" t="str">
        <x:v>O0060</x:v>
      </x:c>
      <x:c r="B61" s="10" t="n">
        <x:v>45994</x:v>
      </x:c>
      <x:c r="C61" t="str">
        <x:v>C075</x:v>
      </x:c>
      <x:c r="D61" t="str">
        <x:v>P010</x:v>
      </x:c>
      <x:c r="E61" t="n">
        <x:v>5</x:v>
      </x:c>
      <x:c r="F61" s="12" t="n">
        <x:v>0</x:v>
      </x:c>
      <x:c r="G61" t="str">
        <x:v>Retail</x:v>
      </x:c>
    </x:row>
    <x:row r="62" ht="15" hidden="0" customHeight="1">
      <x:c r="A62" t="str">
        <x:v>O0061</x:v>
      </x:c>
      <x:c r="B62" s="10" t="n">
        <x:v>45762</x:v>
      </x:c>
      <x:c r="C62" t="str">
        <x:v>C041</x:v>
      </x:c>
      <x:c r="D62" t="str">
        <x:v>P004</x:v>
      </x:c>
      <x:c r="E62" t="n">
        <x:v>3</x:v>
      </x:c>
      <x:c r="F62" s="12" t="n">
        <x:v>0.05</x:v>
      </x:c>
      <x:c r="G62" t="str">
        <x:v>Online</x:v>
      </x:c>
    </x:row>
    <x:row r="63" ht="15" hidden="0" customHeight="1">
      <x:c r="A63" t="str">
        <x:v>O0062</x:v>
      </x:c>
      <x:c r="B63" s="10" t="n">
        <x:v>46001</x:v>
      </x:c>
      <x:c r="C63" t="str">
        <x:v>C039</x:v>
      </x:c>
      <x:c r="D63" t="str">
        <x:v>P008</x:v>
      </x:c>
      <x:c r="E63" t="n">
        <x:v>3</x:v>
      </x:c>
      <x:c r="F63" s="12" t="n">
        <x:v>0</x:v>
      </x:c>
      <x:c r="G63" t="str">
        <x:v>Online</x:v>
      </x:c>
    </x:row>
    <x:row r="64" ht="15" hidden="0" customHeight="1">
      <x:c r="A64" t="str">
        <x:v>O0063</x:v>
      </x:c>
      <x:c r="B64" s="10" t="n">
        <x:v>45892</x:v>
      </x:c>
      <x:c r="C64" t="str">
        <x:v>C080</x:v>
      </x:c>
      <x:c r="D64" t="str">
        <x:v>P010</x:v>
      </x:c>
      <x:c r="E64" t="n">
        <x:v>1</x:v>
      </x:c>
      <x:c r="F64" s="12" t="n">
        <x:v>0</x:v>
      </x:c>
      <x:c r="G64" t="str">
        <x:v>Partner</x:v>
      </x:c>
    </x:row>
    <x:row r="65" ht="15" hidden="0" customHeight="1">
      <x:c r="A65" t="str">
        <x:v>O0064</x:v>
      </x:c>
      <x:c r="B65" s="10" t="n">
        <x:v>45767</x:v>
      </x:c>
      <x:c r="C65" t="str">
        <x:v>C065</x:v>
      </x:c>
      <x:c r="D65" t="str">
        <x:v>P005</x:v>
      </x:c>
      <x:c r="E65" t="n">
        <x:v>2</x:v>
      </x:c>
      <x:c r="F65" s="12" t="n">
        <x:v>0</x:v>
      </x:c>
      <x:c r="G65" t="str">
        <x:v>Online</x:v>
      </x:c>
    </x:row>
    <x:row r="66" ht="15" hidden="0" customHeight="1">
      <x:c r="A66" t="str">
        <x:v>O0065</x:v>
      </x:c>
      <x:c r="B66" s="10" t="n">
        <x:v>45783</x:v>
      </x:c>
      <x:c r="C66" t="str">
        <x:v>C048</x:v>
      </x:c>
      <x:c r="D66" t="str">
        <x:v>P005</x:v>
      </x:c>
      <x:c r="E66" t="n">
        <x:v>2</x:v>
      </x:c>
      <x:c r="F66" s="12" t="n">
        <x:v>0.05</x:v>
      </x:c>
      <x:c r="G66" t="str">
        <x:v>Partner</x:v>
      </x:c>
    </x:row>
    <x:row r="67" ht="15" hidden="0" customHeight="1">
      <x:c r="A67" t="str">
        <x:v>O0066</x:v>
      </x:c>
      <x:c r="B67" s="10" t="n">
        <x:v>46018</x:v>
      </x:c>
      <x:c r="C67" t="str">
        <x:v>C039</x:v>
      </x:c>
      <x:c r="D67" t="str">
        <x:v>P010</x:v>
      </x:c>
      <x:c r="E67" t="n">
        <x:v>6</x:v>
      </x:c>
      <x:c r="F67" s="12" t="n">
        <x:v>0.1</x:v>
      </x:c>
      <x:c r="G67" t="str">
        <x:v>Online</x:v>
      </x:c>
    </x:row>
    <x:row r="68" ht="15" hidden="0" customHeight="1">
      <x:c r="A68" t="str">
        <x:v>O0067</x:v>
      </x:c>
      <x:c r="B68" s="10" t="n">
        <x:v>45999</x:v>
      </x:c>
      <x:c r="C68" t="str">
        <x:v>C071</x:v>
      </x:c>
      <x:c r="D68" t="str">
        <x:v>P005</x:v>
      </x:c>
      <x:c r="E68" t="n">
        <x:v>6</x:v>
      </x:c>
      <x:c r="F68" s="12" t="n">
        <x:v>0</x:v>
      </x:c>
      <x:c r="G68" t="str">
        <x:v>Online</x:v>
      </x:c>
    </x:row>
    <x:row r="69" ht="15" hidden="0" customHeight="1">
      <x:c r="A69" t="str">
        <x:v>O0068</x:v>
      </x:c>
      <x:c r="B69" s="10" t="n">
        <x:v>45793</x:v>
      </x:c>
      <x:c r="C69" t="str">
        <x:v>C015</x:v>
      </x:c>
      <x:c r="D69" t="str">
        <x:v>P002</x:v>
      </x:c>
      <x:c r="E69" t="n">
        <x:v>6</x:v>
      </x:c>
      <x:c r="F69" s="12" t="n">
        <x:v>0.1</x:v>
      </x:c>
      <x:c r="G69" t="str">
        <x:v>Online</x:v>
      </x:c>
    </x:row>
    <x:row r="70" ht="15" hidden="0" customHeight="1">
      <x:c r="A70" t="str">
        <x:v>O0069</x:v>
      </x:c>
      <x:c r="B70" s="10" t="n">
        <x:v>45797</x:v>
      </x:c>
      <x:c r="C70" t="str">
        <x:v>C037</x:v>
      </x:c>
      <x:c r="D70" t="str">
        <x:v>P010</x:v>
      </x:c>
      <x:c r="E70" t="n">
        <x:v>2</x:v>
      </x:c>
      <x:c r="F70" s="12" t="n">
        <x:v>0.15</x:v>
      </x:c>
      <x:c r="G70" t="str">
        <x:v>Retail</x:v>
      </x:c>
    </x:row>
    <x:row r="71" ht="15" hidden="0" customHeight="1">
      <x:c r="A71" t="str">
        <x:v>O0070</x:v>
      </x:c>
      <x:c r="B71" s="10" t="n">
        <x:v>45762</x:v>
      </x:c>
      <x:c r="C71" t="str">
        <x:v>C034</x:v>
      </x:c>
      <x:c r="D71" t="str">
        <x:v>P009</x:v>
      </x:c>
      <x:c r="E71" t="n">
        <x:v>4</x:v>
      </x:c>
      <x:c r="F71" s="12" t="n">
        <x:v>0</x:v>
      </x:c>
      <x:c r="G71" t="str">
        <x:v>Online</x:v>
      </x:c>
    </x:row>
    <x:row r="72" ht="15" hidden="0" customHeight="1">
      <x:c r="A72" t="str">
        <x:v>O0071</x:v>
      </x:c>
      <x:c r="B72" s="10" t="n">
        <x:v>45705</x:v>
      </x:c>
      <x:c r="C72" t="str">
        <x:v>C055</x:v>
      </x:c>
      <x:c r="D72" t="str">
        <x:v>P005</x:v>
      </x:c>
      <x:c r="E72" t="n">
        <x:v>1</x:v>
      </x:c>
      <x:c r="F72" s="12" t="n">
        <x:v>0</x:v>
      </x:c>
      <x:c r="G72" t="str">
        <x:v>Retail</x:v>
      </x:c>
    </x:row>
    <x:row r="73" ht="15" hidden="0" customHeight="1">
      <x:c r="A73" t="str">
        <x:v>O0072</x:v>
      </x:c>
      <x:c r="B73" s="10" t="n">
        <x:v>45724</x:v>
      </x:c>
      <x:c r="C73" t="str">
        <x:v>C034</x:v>
      </x:c>
      <x:c r="D73" t="str">
        <x:v>P003</x:v>
      </x:c>
      <x:c r="E73" t="n">
        <x:v>6</x:v>
      </x:c>
      <x:c r="F73" s="12" t="n">
        <x:v>0.05</x:v>
      </x:c>
      <x:c r="G73" t="str">
        <x:v>Partner</x:v>
      </x:c>
    </x:row>
    <x:row r="74" ht="15" hidden="0" customHeight="1">
      <x:c r="A74" t="str">
        <x:v>O0073</x:v>
      </x:c>
      <x:c r="B74" s="10" t="n">
        <x:v>46019</x:v>
      </x:c>
      <x:c r="C74" t="str">
        <x:v>C055</x:v>
      </x:c>
      <x:c r="D74" t="str">
        <x:v>P009</x:v>
      </x:c>
      <x:c r="E74" t="n">
        <x:v>1</x:v>
      </x:c>
      <x:c r="F74" s="12" t="n">
        <x:v>0</x:v>
      </x:c>
      <x:c r="G74" t="str">
        <x:v>Online</x:v>
      </x:c>
    </x:row>
    <x:row r="75" ht="15" hidden="0" customHeight="1">
      <x:c r="A75" t="str">
        <x:v>O0074</x:v>
      </x:c>
      <x:c r="B75" s="10" t="n">
        <x:v>46011</x:v>
      </x:c>
      <x:c r="C75" t="str">
        <x:v>C020</x:v>
      </x:c>
      <x:c r="D75" t="str">
        <x:v>P009</x:v>
      </x:c>
      <x:c r="E75" t="n">
        <x:v>1</x:v>
      </x:c>
      <x:c r="F75" s="12" t="n">
        <x:v>0</x:v>
      </x:c>
      <x:c r="G75" t="str">
        <x:v>Partner</x:v>
      </x:c>
    </x:row>
    <x:row r="76" ht="15" hidden="0" customHeight="1">
      <x:c r="A76" t="str">
        <x:v>O0075</x:v>
      </x:c>
      <x:c r="B76" s="10" t="n">
        <x:v>45940</x:v>
      </x:c>
      <x:c r="C76" t="str">
        <x:v>C019</x:v>
      </x:c>
      <x:c r="D76" t="str">
        <x:v>P007</x:v>
      </x:c>
      <x:c r="E76" t="n">
        <x:v>2</x:v>
      </x:c>
      <x:c r="F76" s="12" t="n">
        <x:v>0</x:v>
      </x:c>
      <x:c r="G76" t="str">
        <x:v>Retail</x:v>
      </x:c>
    </x:row>
    <x:row r="77" ht="15" hidden="0" customHeight="1">
      <x:c r="A77" t="str">
        <x:v>O0076</x:v>
      </x:c>
      <x:c r="B77" s="10" t="n">
        <x:v>45844</x:v>
      </x:c>
      <x:c r="C77" t="str">
        <x:v>C006</x:v>
      </x:c>
      <x:c r="D77" t="str">
        <x:v>P006</x:v>
      </x:c>
      <x:c r="E77" t="n">
        <x:v>2</x:v>
      </x:c>
      <x:c r="F77" s="12" t="n">
        <x:v>0.15</x:v>
      </x:c>
      <x:c r="G77" t="str">
        <x:v>Online</x:v>
      </x:c>
    </x:row>
    <x:row r="78" ht="15" hidden="0" customHeight="1">
      <x:c r="A78" t="str">
        <x:v>O0077</x:v>
      </x:c>
      <x:c r="B78" s="10" t="n">
        <x:v>45999</x:v>
      </x:c>
      <x:c r="C78" t="str">
        <x:v>C014</x:v>
      </x:c>
      <x:c r="D78" t="str">
        <x:v>P006</x:v>
      </x:c>
      <x:c r="E78" t="n">
        <x:v>5</x:v>
      </x:c>
      <x:c r="F78" s="12" t="n">
        <x:v>0.05</x:v>
      </x:c>
      <x:c r="G78" t="str">
        <x:v>Partner</x:v>
      </x:c>
    </x:row>
    <x:row r="79" ht="15" hidden="0" customHeight="1">
      <x:c r="A79" t="str">
        <x:v>O0078</x:v>
      </x:c>
      <x:c r="B79" s="10" t="n">
        <x:v>45737</x:v>
      </x:c>
      <x:c r="C79" t="str">
        <x:v>C031</x:v>
      </x:c>
      <x:c r="D79" t="str">
        <x:v>P003</x:v>
      </x:c>
      <x:c r="E79" t="n">
        <x:v>2</x:v>
      </x:c>
      <x:c r="F79" s="12" t="n">
        <x:v>0.05</x:v>
      </x:c>
      <x:c r="G79" t="str">
        <x:v>Online</x:v>
      </x:c>
    </x:row>
    <x:row r="80" ht="15" hidden="0" customHeight="1">
      <x:c r="A80" t="str">
        <x:v>O0079</x:v>
      </x:c>
      <x:c r="B80" s="10" t="n">
        <x:v>45749</x:v>
      </x:c>
      <x:c r="C80" t="str">
        <x:v>C043</x:v>
      </x:c>
      <x:c r="D80" t="str">
        <x:v>P007</x:v>
      </x:c>
      <x:c r="E80" t="n">
        <x:v>6</x:v>
      </x:c>
      <x:c r="F80" s="12" t="n">
        <x:v>0.15</x:v>
      </x:c>
      <x:c r="G80" t="str">
        <x:v>Online</x:v>
      </x:c>
    </x:row>
    <x:row r="81" ht="15" hidden="0" customHeight="1">
      <x:c r="A81" t="str">
        <x:v>O0080</x:v>
      </x:c>
      <x:c r="B81" s="10" t="n">
        <x:v>45794</x:v>
      </x:c>
      <x:c r="C81" t="str">
        <x:v>C021</x:v>
      </x:c>
      <x:c r="D81" t="str">
        <x:v>P012</x:v>
      </x:c>
      <x:c r="E81" t="n">
        <x:v>1</x:v>
      </x:c>
      <x:c r="F81" s="12" t="n">
        <x:v>0.05</x:v>
      </x:c>
      <x:c r="G81" t="str">
        <x:v>Online</x:v>
      </x:c>
    </x:row>
    <x:row r="82" ht="15" hidden="0" customHeight="1">
      <x:c r="A82" t="str">
        <x:v>O0081</x:v>
      </x:c>
      <x:c r="B82" s="10" t="n">
        <x:v>45898</x:v>
      </x:c>
      <x:c r="C82" t="str">
        <x:v>C029</x:v>
      </x:c>
      <x:c r="D82" t="str">
        <x:v>P004</x:v>
      </x:c>
      <x:c r="E82" t="n">
        <x:v>4</x:v>
      </x:c>
      <x:c r="F82" s="12" t="n">
        <x:v>0</x:v>
      </x:c>
      <x:c r="G82" t="str">
        <x:v>Retail</x:v>
      </x:c>
    </x:row>
    <x:row r="83" ht="15" hidden="0" customHeight="1">
      <x:c r="A83" t="str">
        <x:v>O0082</x:v>
      </x:c>
      <x:c r="B83" s="10" t="n">
        <x:v>45774</x:v>
      </x:c>
      <x:c r="C83" t="str">
        <x:v>C029</x:v>
      </x:c>
      <x:c r="D83" t="str">
        <x:v>P001</x:v>
      </x:c>
      <x:c r="E83" t="n">
        <x:v>6</x:v>
      </x:c>
      <x:c r="F83" s="12" t="n">
        <x:v>0</x:v>
      </x:c>
      <x:c r="G83" t="str">
        <x:v>Retail</x:v>
      </x:c>
    </x:row>
    <x:row r="84" ht="15" hidden="0" customHeight="1">
      <x:c r="A84" t="str">
        <x:v>O0083</x:v>
      </x:c>
      <x:c r="B84" s="10" t="n">
        <x:v>45826</x:v>
      </x:c>
      <x:c r="C84" t="str">
        <x:v>C036</x:v>
      </x:c>
      <x:c r="D84" t="str">
        <x:v>P002</x:v>
      </x:c>
      <x:c r="E84" t="n">
        <x:v>3</x:v>
      </x:c>
      <x:c r="F84" s="12" t="n">
        <x:v>0</x:v>
      </x:c>
      <x:c r="G84" t="str">
        <x:v>Partner</x:v>
      </x:c>
    </x:row>
    <x:row r="85" ht="15" hidden="0" customHeight="1">
      <x:c r="A85" t="str">
        <x:v>O0084</x:v>
      </x:c>
      <x:c r="B85" s="10" t="n">
        <x:v>45918</x:v>
      </x:c>
      <x:c r="C85" t="str">
        <x:v>C052</x:v>
      </x:c>
      <x:c r="D85" t="str">
        <x:v>P011</x:v>
      </x:c>
      <x:c r="E85" t="n">
        <x:v>5</x:v>
      </x:c>
      <x:c r="F85" s="12" t="n">
        <x:v>0</x:v>
      </x:c>
      <x:c r="G85" t="str">
        <x:v>Online</x:v>
      </x:c>
    </x:row>
    <x:row r="86" ht="15" hidden="0" customHeight="1">
      <x:c r="A86" t="str">
        <x:v>O0085</x:v>
      </x:c>
      <x:c r="B86" s="10" t="n">
        <x:v>45717</x:v>
      </x:c>
      <x:c r="C86" t="str">
        <x:v>C034</x:v>
      </x:c>
      <x:c r="D86" t="str">
        <x:v>P003</x:v>
      </x:c>
      <x:c r="E86" t="n">
        <x:v>5</x:v>
      </x:c>
      <x:c r="F86" s="12" t="n">
        <x:v>0</x:v>
      </x:c>
      <x:c r="G86" t="str">
        <x:v>Online</x:v>
      </x:c>
    </x:row>
    <x:row r="87" ht="15" hidden="0" customHeight="1">
      <x:c r="A87" t="str">
        <x:v>O0086</x:v>
      </x:c>
      <x:c r="B87" s="10" t="n">
        <x:v>45713</x:v>
      </x:c>
      <x:c r="C87" t="str">
        <x:v>C077</x:v>
      </x:c>
      <x:c r="D87" t="str">
        <x:v>P007</x:v>
      </x:c>
      <x:c r="E87" t="n">
        <x:v>3</x:v>
      </x:c>
      <x:c r="F87" s="12" t="n">
        <x:v>0.15</x:v>
      </x:c>
      <x:c r="G87" t="str">
        <x:v>Retail</x:v>
      </x:c>
    </x:row>
    <x:row r="88" ht="15" hidden="0" customHeight="1">
      <x:c r="A88" t="str">
        <x:v>O0087</x:v>
      </x:c>
      <x:c r="B88" s="10" t="n">
        <x:v>45881</x:v>
      </x:c>
      <x:c r="C88" t="str">
        <x:v>C078</x:v>
      </x:c>
      <x:c r="D88" t="str">
        <x:v>P009</x:v>
      </x:c>
      <x:c r="E88" t="n">
        <x:v>1</x:v>
      </x:c>
      <x:c r="F88" s="12" t="n">
        <x:v>0.05</x:v>
      </x:c>
      <x:c r="G88" t="str">
        <x:v>Partner</x:v>
      </x:c>
    </x:row>
    <x:row r="89" ht="15" hidden="0" customHeight="1">
      <x:c r="A89" t="str">
        <x:v>O0088</x:v>
      </x:c>
      <x:c r="B89" s="10" t="n">
        <x:v>45755</x:v>
      </x:c>
      <x:c r="C89" t="str">
        <x:v>C033</x:v>
      </x:c>
      <x:c r="D89" t="str">
        <x:v>P001</x:v>
      </x:c>
      <x:c r="E89" t="n">
        <x:v>6</x:v>
      </x:c>
      <x:c r="F89" s="12" t="n">
        <x:v>0.05</x:v>
      </x:c>
      <x:c r="G89" t="str">
        <x:v>Online</x:v>
      </x:c>
    </x:row>
    <x:row r="90" ht="15" hidden="0" customHeight="1">
      <x:c r="A90" t="str">
        <x:v>O0089</x:v>
      </x:c>
      <x:c r="B90" s="10" t="n">
        <x:v>45924</x:v>
      </x:c>
      <x:c r="C90" t="str">
        <x:v>C069</x:v>
      </x:c>
      <x:c r="D90" t="str">
        <x:v>P011</x:v>
      </x:c>
      <x:c r="E90" t="n">
        <x:v>6</x:v>
      </x:c>
      <x:c r="F90" s="12" t="n">
        <x:v>0.15</x:v>
      </x:c>
      <x:c r="G90" t="str">
        <x:v>Partner</x:v>
      </x:c>
    </x:row>
    <x:row r="91" ht="15" hidden="0" customHeight="1">
      <x:c r="A91" t="str">
        <x:v>O0090</x:v>
      </x:c>
      <x:c r="B91" s="10" t="n">
        <x:v>46001</x:v>
      </x:c>
      <x:c r="C91" t="str">
        <x:v>C026</x:v>
      </x:c>
      <x:c r="D91" t="str">
        <x:v>P006</x:v>
      </x:c>
      <x:c r="E91" t="n">
        <x:v>4</x:v>
      </x:c>
      <x:c r="F91" s="12" t="n">
        <x:v>0</x:v>
      </x:c>
      <x:c r="G91" t="str">
        <x:v>Partner</x:v>
      </x:c>
    </x:row>
    <x:row r="92" ht="15" hidden="0" customHeight="1">
      <x:c r="A92" t="str">
        <x:v>O0091</x:v>
      </x:c>
      <x:c r="B92" s="10" t="n">
        <x:v>45827</x:v>
      </x:c>
      <x:c r="C92" t="str">
        <x:v>C080</x:v>
      </x:c>
      <x:c r="D92" t="str">
        <x:v>P006</x:v>
      </x:c>
      <x:c r="E92" t="n">
        <x:v>6</x:v>
      </x:c>
      <x:c r="F92" s="12" t="n">
        <x:v>0</x:v>
      </x:c>
      <x:c r="G92" t="str">
        <x:v>Partner</x:v>
      </x:c>
    </x:row>
    <x:row r="93" ht="15" hidden="0" customHeight="1">
      <x:c r="A93" t="str">
        <x:v>O0092</x:v>
      </x:c>
      <x:c r="B93" s="10" t="n">
        <x:v>45811</x:v>
      </x:c>
      <x:c r="C93" t="str">
        <x:v>C065</x:v>
      </x:c>
      <x:c r="D93" t="str">
        <x:v>P005</x:v>
      </x:c>
      <x:c r="E93" t="n">
        <x:v>6</x:v>
      </x:c>
      <x:c r="F93" s="12" t="n">
        <x:v>0.05</x:v>
      </x:c>
      <x:c r="G93" t="str">
        <x:v>Retail</x:v>
      </x:c>
    </x:row>
    <x:row r="94" ht="15" hidden="0" customHeight="1">
      <x:c r="A94" t="str">
        <x:v>O0093</x:v>
      </x:c>
      <x:c r="B94" s="10" t="n">
        <x:v>45864</x:v>
      </x:c>
      <x:c r="C94" t="str">
        <x:v>C038</x:v>
      </x:c>
      <x:c r="D94" t="str">
        <x:v>P009</x:v>
      </x:c>
      <x:c r="E94" t="n">
        <x:v>2</x:v>
      </x:c>
      <x:c r="F94" s="12" t="n">
        <x:v>0</x:v>
      </x:c>
      <x:c r="G94" t="str">
        <x:v>Retail</x:v>
      </x:c>
    </x:row>
    <x:row r="95" ht="15" hidden="0" customHeight="1">
      <x:c r="A95" t="str">
        <x:v>O0094</x:v>
      </x:c>
      <x:c r="B95" s="10" t="n">
        <x:v>45998</x:v>
      </x:c>
      <x:c r="C95" t="str">
        <x:v>C049</x:v>
      </x:c>
      <x:c r="D95" t="str">
        <x:v>P011</x:v>
      </x:c>
      <x:c r="E95" t="n">
        <x:v>6</x:v>
      </x:c>
      <x:c r="F95" s="12" t="n">
        <x:v>0</x:v>
      </x:c>
      <x:c r="G95" t="str">
        <x:v>Partner</x:v>
      </x:c>
    </x:row>
    <x:row r="96" ht="15" hidden="0" customHeight="1">
      <x:c r="A96" t="str">
        <x:v>O0095</x:v>
      </x:c>
      <x:c r="B96" s="10" t="n">
        <x:v>45949</x:v>
      </x:c>
      <x:c r="C96" t="str">
        <x:v>C039</x:v>
      </x:c>
      <x:c r="D96" t="str">
        <x:v>P007</x:v>
      </x:c>
      <x:c r="E96" t="n">
        <x:v>5</x:v>
      </x:c>
      <x:c r="F96" s="12" t="n">
        <x:v>0</x:v>
      </x:c>
      <x:c r="G96" t="str">
        <x:v>Retail</x:v>
      </x:c>
    </x:row>
    <x:row r="97" ht="15" hidden="0" customHeight="1">
      <x:c r="A97" t="str">
        <x:v>O0096</x:v>
      </x:c>
      <x:c r="B97" s="10" t="n">
        <x:v>45804</x:v>
      </x:c>
      <x:c r="C97" t="str">
        <x:v>C027</x:v>
      </x:c>
      <x:c r="D97" t="str">
        <x:v>P007</x:v>
      </x:c>
      <x:c r="E97" t="n">
        <x:v>5</x:v>
      </x:c>
      <x:c r="F97" s="12" t="n">
        <x:v>0.1</x:v>
      </x:c>
      <x:c r="G97" t="str">
        <x:v>Partner</x:v>
      </x:c>
    </x:row>
    <x:row r="98" ht="15" hidden="0" customHeight="1">
      <x:c r="A98" t="str">
        <x:v>O0097</x:v>
      </x:c>
      <x:c r="B98" s="10" t="n">
        <x:v>45822</x:v>
      </x:c>
      <x:c r="C98" t="str">
        <x:v>C060</x:v>
      </x:c>
      <x:c r="D98" t="str">
        <x:v>P008</x:v>
      </x:c>
      <x:c r="E98" t="n">
        <x:v>4</x:v>
      </x:c>
      <x:c r="F98" s="12" t="n">
        <x:v>0.15</x:v>
      </x:c>
      <x:c r="G98" t="str">
        <x:v>Online</x:v>
      </x:c>
    </x:row>
    <x:row r="99" ht="15" hidden="0" customHeight="1">
      <x:c r="A99" t="str">
        <x:v>O0098</x:v>
      </x:c>
      <x:c r="B99" s="10" t="n">
        <x:v>45919</x:v>
      </x:c>
      <x:c r="C99" t="str">
        <x:v>C061</x:v>
      </x:c>
      <x:c r="D99" t="str">
        <x:v>P012</x:v>
      </x:c>
      <x:c r="E99" t="n">
        <x:v>2</x:v>
      </x:c>
      <x:c r="F99" s="12" t="n">
        <x:v>0.15</x:v>
      </x:c>
      <x:c r="G99" t="str">
        <x:v>Online</x:v>
      </x:c>
    </x:row>
    <x:row r="100" ht="15" hidden="0" customHeight="1">
      <x:c r="A100" t="str">
        <x:v>O0099</x:v>
      </x:c>
      <x:c r="B100" s="10" t="n">
        <x:v>45803</x:v>
      </x:c>
      <x:c r="C100" t="str">
        <x:v>C066</x:v>
      </x:c>
      <x:c r="D100" t="str">
        <x:v>P011</x:v>
      </x:c>
      <x:c r="E100" t="n">
        <x:v>6</x:v>
      </x:c>
      <x:c r="F100" s="12" t="n">
        <x:v>0.1</x:v>
      </x:c>
      <x:c r="G100" t="str">
        <x:v>Retail</x:v>
      </x:c>
    </x:row>
    <x:row r="101" ht="15" hidden="0" customHeight="1">
      <x:c r="A101" t="str">
        <x:v>O0100</x:v>
      </x:c>
      <x:c r="B101" s="10" t="n">
        <x:v>45705</x:v>
      </x:c>
      <x:c r="C101" t="str">
        <x:v>C031</x:v>
      </x:c>
      <x:c r="D101" t="str">
        <x:v>P011</x:v>
      </x:c>
      <x:c r="E101" t="n">
        <x:v>3</x:v>
      </x:c>
      <x:c r="F101" s="12" t="n">
        <x:v>0</x:v>
      </x:c>
      <x:c r="G101" t="str">
        <x:v>Online</x:v>
      </x:c>
    </x:row>
    <x:row r="102" ht="15" hidden="0" customHeight="1">
      <x:c r="A102" t="str">
        <x:v>O0101</x:v>
      </x:c>
      <x:c r="B102" s="10" t="n">
        <x:v>45733</x:v>
      </x:c>
      <x:c r="C102" t="str">
        <x:v>C004</x:v>
      </x:c>
      <x:c r="D102" t="str">
        <x:v>P001</x:v>
      </x:c>
      <x:c r="E102" t="n">
        <x:v>2</x:v>
      </x:c>
      <x:c r="F102" s="12" t="n">
        <x:v>0.05</x:v>
      </x:c>
      <x:c r="G102" t="str">
        <x:v>Partner</x:v>
      </x:c>
    </x:row>
    <x:row r="103" ht="15" hidden="0" customHeight="1">
      <x:c r="A103" t="str">
        <x:v>O0102</x:v>
      </x:c>
      <x:c r="B103" s="10" t="n">
        <x:v>45695</x:v>
      </x:c>
      <x:c r="C103" t="str">
        <x:v>C059</x:v>
      </x:c>
      <x:c r="D103" t="str">
        <x:v>P007</x:v>
      </x:c>
      <x:c r="E103" t="n">
        <x:v>6</x:v>
      </x:c>
      <x:c r="F103" s="12" t="n">
        <x:v>0.1</x:v>
      </x:c>
      <x:c r="G103" t="str">
        <x:v>Online</x:v>
      </x:c>
    </x:row>
    <x:row r="104" ht="15" hidden="0" customHeight="1">
      <x:c r="A104" t="str">
        <x:v>O0103</x:v>
      </x:c>
      <x:c r="B104" s="10" t="n">
        <x:v>46014</x:v>
      </x:c>
      <x:c r="C104" t="str">
        <x:v>C050</x:v>
      </x:c>
      <x:c r="D104" t="str">
        <x:v>P008</x:v>
      </x:c>
      <x:c r="E104" t="n">
        <x:v>4</x:v>
      </x:c>
      <x:c r="F104" s="12" t="n">
        <x:v>0</x:v>
      </x:c>
      <x:c r="G104" t="str">
        <x:v>Online</x:v>
      </x:c>
    </x:row>
    <x:row r="105" ht="15" hidden="0" customHeight="1">
      <x:c r="A105" t="str">
        <x:v>O0104</x:v>
      </x:c>
      <x:c r="B105" s="10" t="n">
        <x:v>45993</x:v>
      </x:c>
      <x:c r="C105" t="str">
        <x:v>C001</x:v>
      </x:c>
      <x:c r="D105" t="str">
        <x:v>P002</x:v>
      </x:c>
      <x:c r="E105" t="n">
        <x:v>4</x:v>
      </x:c>
      <x:c r="F105" s="12" t="n">
        <x:v>0</x:v>
      </x:c>
      <x:c r="G105" t="str">
        <x:v>Online</x:v>
      </x:c>
    </x:row>
    <x:row r="106" ht="15" hidden="0" customHeight="1">
      <x:c r="A106" t="str">
        <x:v>O0105</x:v>
      </x:c>
      <x:c r="B106" s="10" t="n">
        <x:v>46014</x:v>
      </x:c>
      <x:c r="C106" t="str">
        <x:v>C067</x:v>
      </x:c>
      <x:c r="D106" t="str">
        <x:v>P008</x:v>
      </x:c>
      <x:c r="E106" t="n">
        <x:v>1</x:v>
      </x:c>
      <x:c r="F106" s="12" t="n">
        <x:v>0.1</x:v>
      </x:c>
      <x:c r="G106" t="str">
        <x:v>Online</x:v>
      </x:c>
    </x:row>
    <x:row r="107" ht="15" hidden="0" customHeight="1">
      <x:c r="A107" t="str">
        <x:v>O0106</x:v>
      </x:c>
      <x:c r="B107" s="10" t="n">
        <x:v>45720</x:v>
      </x:c>
      <x:c r="C107" t="str">
        <x:v>C059</x:v>
      </x:c>
      <x:c r="D107" t="str">
        <x:v>P003</x:v>
      </x:c>
      <x:c r="E107" t="n">
        <x:v>4</x:v>
      </x:c>
      <x:c r="F107" s="12" t="n">
        <x:v>0.15</x:v>
      </x:c>
      <x:c r="G107" t="str">
        <x:v>Partner</x:v>
      </x:c>
    </x:row>
    <x:row r="108" ht="15" hidden="0" customHeight="1">
      <x:c r="A108" t="str">
        <x:v>O0107</x:v>
      </x:c>
      <x:c r="B108" s="10" t="n">
        <x:v>45944</x:v>
      </x:c>
      <x:c r="C108" t="str">
        <x:v>C077</x:v>
      </x:c>
      <x:c r="D108" t="str">
        <x:v>P006</x:v>
      </x:c>
      <x:c r="E108" t="n">
        <x:v>4</x:v>
      </x:c>
      <x:c r="F108" s="12" t="n">
        <x:v>0.1</x:v>
      </x:c>
      <x:c r="G108" t="str">
        <x:v>Partner</x:v>
      </x:c>
    </x:row>
    <x:row r="109" ht="15" hidden="0" customHeight="1">
      <x:c r="A109" t="str">
        <x:v>O0108</x:v>
      </x:c>
      <x:c r="B109" s="10" t="n">
        <x:v>45916</x:v>
      </x:c>
      <x:c r="C109" t="str">
        <x:v>C055</x:v>
      </x:c>
      <x:c r="D109" t="str">
        <x:v>P009</x:v>
      </x:c>
      <x:c r="E109" t="n">
        <x:v>4</x:v>
      </x:c>
      <x:c r="F109" s="12" t="n">
        <x:v>0</x:v>
      </x:c>
      <x:c r="G109" t="str">
        <x:v>Partner</x:v>
      </x:c>
    </x:row>
    <x:row r="110" ht="15" hidden="0" customHeight="1">
      <x:c r="A110" t="str">
        <x:v>O0109</x:v>
      </x:c>
      <x:c r="B110" s="10" t="n">
        <x:v>45901</x:v>
      </x:c>
      <x:c r="C110" t="str">
        <x:v>C058</x:v>
      </x:c>
      <x:c r="D110" t="str">
        <x:v>P005</x:v>
      </x:c>
      <x:c r="E110" t="n">
        <x:v>2</x:v>
      </x:c>
      <x:c r="F110" s="12" t="n">
        <x:v>0.15</x:v>
      </x:c>
      <x:c r="G110" t="str">
        <x:v>Retail</x:v>
      </x:c>
    </x:row>
    <x:row r="111" ht="15" hidden="0" customHeight="1">
      <x:c r="A111" t="str">
        <x:v>O0110</x:v>
      </x:c>
      <x:c r="B111" s="10" t="n">
        <x:v>45924</x:v>
      </x:c>
      <x:c r="C111" t="str">
        <x:v>C063</x:v>
      </x:c>
      <x:c r="D111" t="str">
        <x:v>P011</x:v>
      </x:c>
      <x:c r="E111" t="n">
        <x:v>2</x:v>
      </x:c>
      <x:c r="F111" s="12" t="n">
        <x:v>0</x:v>
      </x:c>
      <x:c r="G111" t="str">
        <x:v>Retail</x:v>
      </x:c>
    </x:row>
    <x:row r="112" ht="15" hidden="0" customHeight="1">
      <x:c r="A112" t="str">
        <x:v>O0111</x:v>
      </x:c>
      <x:c r="B112" s="10" t="n">
        <x:v>45697</x:v>
      </x:c>
      <x:c r="C112" t="str">
        <x:v>C037</x:v>
      </x:c>
      <x:c r="D112" t="str">
        <x:v>P004</x:v>
      </x:c>
      <x:c r="E112" t="n">
        <x:v>3</x:v>
      </x:c>
      <x:c r="F112" s="12" t="n">
        <x:v>0</x:v>
      </x:c>
      <x:c r="G112" t="str">
        <x:v>Retail</x:v>
      </x:c>
    </x:row>
    <x:row r="113" ht="15" hidden="0" customHeight="1">
      <x:c r="A113" t="str">
        <x:v>O0112</x:v>
      </x:c>
      <x:c r="B113" s="10" t="n">
        <x:v>45934</x:v>
      </x:c>
      <x:c r="C113" t="str">
        <x:v>C011</x:v>
      </x:c>
      <x:c r="D113" t="str">
        <x:v>P003</x:v>
      </x:c>
      <x:c r="E113" t="n">
        <x:v>2</x:v>
      </x:c>
      <x:c r="F113" s="12" t="n">
        <x:v>0</x:v>
      </x:c>
      <x:c r="G113" t="str">
        <x:v>Retail</x:v>
      </x:c>
    </x:row>
    <x:row r="114" ht="15" hidden="0" customHeight="1">
      <x:c r="A114" t="str">
        <x:v>O0113</x:v>
      </x:c>
      <x:c r="B114" s="10" t="n">
        <x:v>46013</x:v>
      </x:c>
      <x:c r="C114" t="str">
        <x:v>C020</x:v>
      </x:c>
      <x:c r="D114" t="str">
        <x:v>P012</x:v>
      </x:c>
      <x:c r="E114" t="n">
        <x:v>2</x:v>
      </x:c>
      <x:c r="F114" s="12" t="n">
        <x:v>0</x:v>
      </x:c>
      <x:c r="G114" t="str">
        <x:v>Retail</x:v>
      </x:c>
    </x:row>
    <x:row r="115" ht="15" hidden="0" customHeight="1">
      <x:c r="A115" t="str">
        <x:v>O0114</x:v>
      </x:c>
      <x:c r="B115" s="10" t="n">
        <x:v>45866</x:v>
      </x:c>
      <x:c r="C115" t="str">
        <x:v>C043</x:v>
      </x:c>
      <x:c r="D115" t="str">
        <x:v>P009</x:v>
      </x:c>
      <x:c r="E115" t="n">
        <x:v>4</x:v>
      </x:c>
      <x:c r="F115" s="12" t="n">
        <x:v>0.05</x:v>
      </x:c>
      <x:c r="G115" t="str">
        <x:v>Online</x:v>
      </x:c>
    </x:row>
    <x:row r="116" ht="15" hidden="0" customHeight="1">
      <x:c r="A116" t="str">
        <x:v>O0115</x:v>
      </x:c>
      <x:c r="B116" s="10" t="n">
        <x:v>45763</x:v>
      </x:c>
      <x:c r="C116" t="str">
        <x:v>C054</x:v>
      </x:c>
      <x:c r="D116" t="str">
        <x:v>P007</x:v>
      </x:c>
      <x:c r="E116" t="n">
        <x:v>5</x:v>
      </x:c>
      <x:c r="F116" s="12" t="n">
        <x:v>0.15</x:v>
      </x:c>
      <x:c r="G116" t="str">
        <x:v>Online</x:v>
      </x:c>
    </x:row>
    <x:row r="117" ht="15" hidden="0" customHeight="1">
      <x:c r="A117" t="str">
        <x:v>O0116</x:v>
      </x:c>
      <x:c r="B117" s="10" t="n">
        <x:v>45952</x:v>
      </x:c>
      <x:c r="C117" t="str">
        <x:v>C049</x:v>
      </x:c>
      <x:c r="D117" t="str">
        <x:v>P008</x:v>
      </x:c>
      <x:c r="E117" t="n">
        <x:v>1</x:v>
      </x:c>
      <x:c r="F117" s="12" t="n">
        <x:v>0</x:v>
      </x:c>
      <x:c r="G117" t="str">
        <x:v>Retail</x:v>
      </x:c>
    </x:row>
    <x:row r="118" ht="15" hidden="0" customHeight="1">
      <x:c r="A118" t="str">
        <x:v>O0117</x:v>
      </x:c>
      <x:c r="B118" s="10" t="n">
        <x:v>45857</x:v>
      </x:c>
      <x:c r="C118" t="str">
        <x:v>C054</x:v>
      </x:c>
      <x:c r="D118" t="str">
        <x:v>P009</x:v>
      </x:c>
      <x:c r="E118" t="n">
        <x:v>6</x:v>
      </x:c>
      <x:c r="F118" s="12" t="n">
        <x:v>0.15</x:v>
      </x:c>
      <x:c r="G118" t="str">
        <x:v>Partner</x:v>
      </x:c>
    </x:row>
    <x:row r="119" ht="15" hidden="0" customHeight="1">
      <x:c r="A119" t="str">
        <x:v>O0118</x:v>
      </x:c>
      <x:c r="B119" s="10" t="n">
        <x:v>45966</x:v>
      </x:c>
      <x:c r="C119" t="str">
        <x:v>C029</x:v>
      </x:c>
      <x:c r="D119" t="str">
        <x:v>P008</x:v>
      </x:c>
      <x:c r="E119" t="n">
        <x:v>2</x:v>
      </x:c>
      <x:c r="F119" s="12" t="n">
        <x:v>0</x:v>
      </x:c>
      <x:c r="G119" t="str">
        <x:v>Retail</x:v>
      </x:c>
    </x:row>
    <x:row r="120" ht="15" hidden="0" customHeight="1">
      <x:c r="A120" t="str">
        <x:v>O0119</x:v>
      </x:c>
      <x:c r="B120" s="10" t="n">
        <x:v>45906</x:v>
      </x:c>
      <x:c r="C120" t="str">
        <x:v>C004</x:v>
      </x:c>
      <x:c r="D120" t="str">
        <x:v>P007</x:v>
      </x:c>
      <x:c r="E120" t="n">
        <x:v>3</x:v>
      </x:c>
      <x:c r="F120" s="12" t="n">
        <x:v>0.15</x:v>
      </x:c>
      <x:c r="G120" t="str">
        <x:v>Partner</x:v>
      </x:c>
    </x:row>
    <x:row r="121" ht="15" hidden="0" customHeight="1">
      <x:c r="A121" t="str">
        <x:v>O0120</x:v>
      </x:c>
      <x:c r="B121" s="10" t="n">
        <x:v>45865</x:v>
      </x:c>
      <x:c r="C121" t="str">
        <x:v>C022</x:v>
      </x:c>
      <x:c r="D121" t="str">
        <x:v>P008</x:v>
      </x:c>
      <x:c r="E121" t="n">
        <x:v>2</x:v>
      </x:c>
      <x:c r="F121" s="12" t="n">
        <x:v>0.1</x:v>
      </x:c>
      <x:c r="G121" t="str">
        <x:v>Partner</x:v>
      </x:c>
    </x:row>
    <x:row r="122" ht="15" hidden="0" customHeight="1">
      <x:c r="A122" t="str">
        <x:v>O0121</x:v>
      </x:c>
      <x:c r="B122" s="10" t="n">
        <x:v>45671</x:v>
      </x:c>
      <x:c r="C122" t="str">
        <x:v>C051</x:v>
      </x:c>
      <x:c r="D122" t="str">
        <x:v>P010</x:v>
      </x:c>
      <x:c r="E122" t="n">
        <x:v>5</x:v>
      </x:c>
      <x:c r="F122" s="12" t="n">
        <x:v>0.15</x:v>
      </x:c>
      <x:c r="G122" t="str">
        <x:v>Online</x:v>
      </x:c>
    </x:row>
    <x:row r="123" ht="15" hidden="0" customHeight="1">
      <x:c r="A123" t="str">
        <x:v>O0122</x:v>
      </x:c>
      <x:c r="B123" s="10" t="n">
        <x:v>45700</x:v>
      </x:c>
      <x:c r="C123" t="str">
        <x:v>C055</x:v>
      </x:c>
      <x:c r="D123" t="str">
        <x:v>P003</x:v>
      </x:c>
      <x:c r="E123" t="n">
        <x:v>4</x:v>
      </x:c>
      <x:c r="F123" s="12" t="n">
        <x:v>0</x:v>
      </x:c>
      <x:c r="G123" t="str">
        <x:v>Online</x:v>
      </x:c>
    </x:row>
    <x:row r="124" ht="15" hidden="0" customHeight="1">
      <x:c r="A124" t="str">
        <x:v>O0123</x:v>
      </x:c>
      <x:c r="B124" s="10" t="n">
        <x:v>45791</x:v>
      </x:c>
      <x:c r="C124" t="str">
        <x:v>C049</x:v>
      </x:c>
      <x:c r="D124" t="str">
        <x:v>P006</x:v>
      </x:c>
      <x:c r="E124" t="n">
        <x:v>2</x:v>
      </x:c>
      <x:c r="F124" s="12" t="n">
        <x:v>0.05</x:v>
      </x:c>
      <x:c r="G124" t="str">
        <x:v>Retail</x:v>
      </x:c>
    </x:row>
    <x:row r="125" ht="15" hidden="0" customHeight="1">
      <x:c r="A125" t="str">
        <x:v>O0124</x:v>
      </x:c>
      <x:c r="B125" s="10" t="n">
        <x:v>45830</x:v>
      </x:c>
      <x:c r="C125" t="str">
        <x:v>C049</x:v>
      </x:c>
      <x:c r="D125" t="str">
        <x:v>P005</x:v>
      </x:c>
      <x:c r="E125" t="n">
        <x:v>4</x:v>
      </x:c>
      <x:c r="F125" s="12" t="n">
        <x:v>0</x:v>
      </x:c>
      <x:c r="G125" t="str">
        <x:v>Online</x:v>
      </x:c>
    </x:row>
    <x:row r="126" ht="15" hidden="0" customHeight="1">
      <x:c r="A126" t="str">
        <x:v>O0125</x:v>
      </x:c>
      <x:c r="B126" s="10" t="n">
        <x:v>45898</x:v>
      </x:c>
      <x:c r="C126" t="str">
        <x:v>C003</x:v>
      </x:c>
      <x:c r="D126" t="str">
        <x:v>P012</x:v>
      </x:c>
      <x:c r="E126" t="n">
        <x:v>5</x:v>
      </x:c>
      <x:c r="F126" s="12" t="n">
        <x:v>0</x:v>
      </x:c>
      <x:c r="G126" t="str">
        <x:v>Retail</x:v>
      </x:c>
    </x:row>
    <x:row r="127" ht="15" hidden="0" customHeight="1">
      <x:c r="A127" t="str">
        <x:v>O0126</x:v>
      </x:c>
      <x:c r="B127" s="10" t="n">
        <x:v>45772</x:v>
      </x:c>
      <x:c r="C127" t="str">
        <x:v>C009</x:v>
      </x:c>
      <x:c r="D127" t="str">
        <x:v>P011</x:v>
      </x:c>
      <x:c r="E127" t="n">
        <x:v>1</x:v>
      </x:c>
      <x:c r="F127" s="12" t="n">
        <x:v>0</x:v>
      </x:c>
      <x:c r="G127" t="str">
        <x:v>Online</x:v>
      </x:c>
    </x:row>
    <x:row r="128" ht="15" hidden="0" customHeight="1">
      <x:c r="A128" t="str">
        <x:v>O0127</x:v>
      </x:c>
      <x:c r="B128" s="10" t="n">
        <x:v>45760</x:v>
      </x:c>
      <x:c r="C128" t="str">
        <x:v>C003</x:v>
      </x:c>
      <x:c r="D128" t="str">
        <x:v>P010</x:v>
      </x:c>
      <x:c r="E128" t="n">
        <x:v>2</x:v>
      </x:c>
      <x:c r="F128" s="12" t="n">
        <x:v>0</x:v>
      </x:c>
      <x:c r="G128" t="str">
        <x:v>Online</x:v>
      </x:c>
    </x:row>
    <x:row r="129" ht="15" hidden="0" customHeight="1">
      <x:c r="A129" t="str">
        <x:v>O0128</x:v>
      </x:c>
      <x:c r="B129" s="10" t="n">
        <x:v>45900</x:v>
      </x:c>
      <x:c r="C129" t="str">
        <x:v>C015</x:v>
      </x:c>
      <x:c r="D129" t="str">
        <x:v>P010</x:v>
      </x:c>
      <x:c r="E129" t="n">
        <x:v>2</x:v>
      </x:c>
      <x:c r="F129" s="12" t="n">
        <x:v>0.05</x:v>
      </x:c>
      <x:c r="G129" t="str">
        <x:v>Partner</x:v>
      </x:c>
    </x:row>
    <x:row r="130" ht="15" hidden="0" customHeight="1">
      <x:c r="A130" t="str">
        <x:v>O0129</x:v>
      </x:c>
      <x:c r="B130" s="10" t="n">
        <x:v>45789</x:v>
      </x:c>
      <x:c r="C130" t="str">
        <x:v>C048</x:v>
      </x:c>
      <x:c r="D130" t="str">
        <x:v>P003</x:v>
      </x:c>
      <x:c r="E130" t="n">
        <x:v>5</x:v>
      </x:c>
      <x:c r="F130" s="12" t="n">
        <x:v>0.1</x:v>
      </x:c>
      <x:c r="G130" t="str">
        <x:v>Partner</x:v>
      </x:c>
    </x:row>
    <x:row r="131" ht="15" hidden="0" customHeight="1">
      <x:c r="A131" t="str">
        <x:v>O0130</x:v>
      </x:c>
      <x:c r="B131" s="10" t="n">
        <x:v>45716</x:v>
      </x:c>
      <x:c r="C131" t="str">
        <x:v>C021</x:v>
      </x:c>
      <x:c r="D131" t="str">
        <x:v>P005</x:v>
      </x:c>
      <x:c r="E131" t="n">
        <x:v>1</x:v>
      </x:c>
      <x:c r="F131" s="12" t="n">
        <x:v>0.1</x:v>
      </x:c>
      <x:c r="G131" t="str">
        <x:v>Online</x:v>
      </x:c>
    </x:row>
    <x:row r="132" ht="15" hidden="0" customHeight="1">
      <x:c r="A132" t="str">
        <x:v>O0131</x:v>
      </x:c>
      <x:c r="B132" s="10" t="n">
        <x:v>45817</x:v>
      </x:c>
      <x:c r="C132" t="str">
        <x:v>C074</x:v>
      </x:c>
      <x:c r="D132" t="str">
        <x:v>P011</x:v>
      </x:c>
      <x:c r="E132" t="n">
        <x:v>4</x:v>
      </x:c>
      <x:c r="F132" s="12" t="n">
        <x:v>0.05</x:v>
      </x:c>
      <x:c r="G132" t="str">
        <x:v>Partner</x:v>
      </x:c>
    </x:row>
    <x:row r="133" ht="15" hidden="0" customHeight="1">
      <x:c r="A133" t="str">
        <x:v>O0132</x:v>
      </x:c>
      <x:c r="B133" s="10" t="n">
        <x:v>45759</x:v>
      </x:c>
      <x:c r="C133" t="str">
        <x:v>C010</x:v>
      </x:c>
      <x:c r="D133" t="str">
        <x:v>P010</x:v>
      </x:c>
      <x:c r="E133" t="n">
        <x:v>6</x:v>
      </x:c>
      <x:c r="F133" s="12" t="n">
        <x:v>0.15</x:v>
      </x:c>
      <x:c r="G133" t="str">
        <x:v>Online</x:v>
      </x:c>
    </x:row>
    <x:row r="134" ht="15" hidden="0" customHeight="1">
      <x:c r="A134" t="str">
        <x:v>O0133</x:v>
      </x:c>
      <x:c r="B134" s="10" t="n">
        <x:v>45710</x:v>
      </x:c>
      <x:c r="C134" t="str">
        <x:v>C039</x:v>
      </x:c>
      <x:c r="D134" t="str">
        <x:v>P011</x:v>
      </x:c>
      <x:c r="E134" t="n">
        <x:v>5</x:v>
      </x:c>
      <x:c r="F134" s="12" t="n">
        <x:v>0</x:v>
      </x:c>
      <x:c r="G134" t="str">
        <x:v>Partner</x:v>
      </x:c>
    </x:row>
    <x:row r="135" ht="15" hidden="0" customHeight="1">
      <x:c r="A135" t="str">
        <x:v>O0134</x:v>
      </x:c>
      <x:c r="B135" s="10" t="n">
        <x:v>45679</x:v>
      </x:c>
      <x:c r="C135" t="str">
        <x:v>C045</x:v>
      </x:c>
      <x:c r="D135" t="str">
        <x:v>P009</x:v>
      </x:c>
      <x:c r="E135" t="n">
        <x:v>4</x:v>
      </x:c>
      <x:c r="F135" s="12" t="n">
        <x:v>0.15</x:v>
      </x:c>
      <x:c r="G135" t="str">
        <x:v>Retail</x:v>
      </x:c>
    </x:row>
    <x:row r="136" ht="15" hidden="0" customHeight="1">
      <x:c r="A136" t="str">
        <x:v>O0135</x:v>
      </x:c>
      <x:c r="B136" s="10" t="n">
        <x:v>45693</x:v>
      </x:c>
      <x:c r="C136" t="str">
        <x:v>C065</x:v>
      </x:c>
      <x:c r="D136" t="str">
        <x:v>P011</x:v>
      </x:c>
      <x:c r="E136" t="n">
        <x:v>3</x:v>
      </x:c>
      <x:c r="F136" s="12" t="n">
        <x:v>0</x:v>
      </x:c>
      <x:c r="G136" t="str">
        <x:v>Retail</x:v>
      </x:c>
    </x:row>
    <x:row r="137" ht="15" hidden="0" customHeight="1">
      <x:c r="A137" t="str">
        <x:v>O0136</x:v>
      </x:c>
      <x:c r="B137" s="10" t="n">
        <x:v>45908</x:v>
      </x:c>
      <x:c r="C137" t="str">
        <x:v>C014</x:v>
      </x:c>
      <x:c r="D137" t="str">
        <x:v>P007</x:v>
      </x:c>
      <x:c r="E137" t="n">
        <x:v>3</x:v>
      </x:c>
      <x:c r="F137" s="12" t="n">
        <x:v>0.15</x:v>
      </x:c>
      <x:c r="G137" t="str">
        <x:v>Retail</x:v>
      </x:c>
    </x:row>
    <x:row r="138" ht="15" hidden="0" customHeight="1">
      <x:c r="A138" t="str">
        <x:v>O0137</x:v>
      </x:c>
      <x:c r="B138" s="10" t="n">
        <x:v>46020</x:v>
      </x:c>
      <x:c r="C138" t="str">
        <x:v>C020</x:v>
      </x:c>
      <x:c r="D138" t="str">
        <x:v>P007</x:v>
      </x:c>
      <x:c r="E138" t="n">
        <x:v>2</x:v>
      </x:c>
      <x:c r="F138" s="12" t="n">
        <x:v>0.15</x:v>
      </x:c>
      <x:c r="G138" t="str">
        <x:v>Partner</x:v>
      </x:c>
    </x:row>
    <x:row r="139" ht="15" hidden="0" customHeight="1">
      <x:c r="A139" t="str">
        <x:v>O0138</x:v>
      </x:c>
      <x:c r="B139" s="10" t="n">
        <x:v>45991</x:v>
      </x:c>
      <x:c r="C139" t="str">
        <x:v>C035</x:v>
      </x:c>
      <x:c r="D139" t="str">
        <x:v>P010</x:v>
      </x:c>
      <x:c r="E139" t="n">
        <x:v>5</x:v>
      </x:c>
      <x:c r="F139" s="12" t="n">
        <x:v>0.05</x:v>
      </x:c>
      <x:c r="G139" t="str">
        <x:v>Retail</x:v>
      </x:c>
    </x:row>
    <x:row r="140" ht="15" hidden="0" customHeight="1">
      <x:c r="A140" t="str">
        <x:v>O0139</x:v>
      </x:c>
      <x:c r="B140" s="10" t="n">
        <x:v>45881</x:v>
      </x:c>
      <x:c r="C140" t="str">
        <x:v>C076</x:v>
      </x:c>
      <x:c r="D140" t="str">
        <x:v>P005</x:v>
      </x:c>
      <x:c r="E140" t="n">
        <x:v>3</x:v>
      </x:c>
      <x:c r="F140" s="12" t="n">
        <x:v>0</x:v>
      </x:c>
      <x:c r="G140" t="str">
        <x:v>Online</x:v>
      </x:c>
    </x:row>
    <x:row r="141" ht="15" hidden="0" customHeight="1">
      <x:c r="A141" t="str">
        <x:v>O0140</x:v>
      </x:c>
      <x:c r="B141" s="10" t="n">
        <x:v>45800</x:v>
      </x:c>
      <x:c r="C141" t="str">
        <x:v>C058</x:v>
      </x:c>
      <x:c r="D141" t="str">
        <x:v>P004</x:v>
      </x:c>
      <x:c r="E141" t="n">
        <x:v>4</x:v>
      </x:c>
      <x:c r="F141" s="12" t="n">
        <x:v>0.1</x:v>
      </x:c>
      <x:c r="G141" t="str">
        <x:v>Partner</x:v>
      </x:c>
    </x:row>
    <x:row r="142" ht="15" hidden="0" customHeight="1">
      <x:c r="A142" t="str">
        <x:v>O0141</x:v>
      </x:c>
      <x:c r="B142" s="10" t="n">
        <x:v>46000</x:v>
      </x:c>
      <x:c r="C142" t="str">
        <x:v>C049</x:v>
      </x:c>
      <x:c r="D142" t="str">
        <x:v>P006</x:v>
      </x:c>
      <x:c r="E142" t="n">
        <x:v>1</x:v>
      </x:c>
      <x:c r="F142" s="12" t="n">
        <x:v>0.05</x:v>
      </x:c>
      <x:c r="G142" t="str">
        <x:v>Retail</x:v>
      </x:c>
    </x:row>
    <x:row r="143" ht="15" hidden="0" customHeight="1">
      <x:c r="A143" t="str">
        <x:v>O0142</x:v>
      </x:c>
      <x:c r="B143" s="10" t="n">
        <x:v>45751</x:v>
      </x:c>
      <x:c r="C143" t="str">
        <x:v>C063</x:v>
      </x:c>
      <x:c r="D143" t="str">
        <x:v>P004</x:v>
      </x:c>
      <x:c r="E143" t="n">
        <x:v>3</x:v>
      </x:c>
      <x:c r="F143" s="12" t="n">
        <x:v>0</x:v>
      </x:c>
      <x:c r="G143" t="str">
        <x:v>Retail</x:v>
      </x:c>
    </x:row>
    <x:row r="144" ht="15" hidden="0" customHeight="1">
      <x:c r="A144" t="str">
        <x:v>O0143</x:v>
      </x:c>
      <x:c r="B144" s="10" t="n">
        <x:v>45801</x:v>
      </x:c>
      <x:c r="C144" t="str">
        <x:v>C077</x:v>
      </x:c>
      <x:c r="D144" t="str">
        <x:v>P012</x:v>
      </x:c>
      <x:c r="E144" t="n">
        <x:v>3</x:v>
      </x:c>
      <x:c r="F144" s="12" t="n">
        <x:v>0.1</x:v>
      </x:c>
      <x:c r="G144" t="str">
        <x:v>Online</x:v>
      </x:c>
    </x:row>
    <x:row r="145" ht="15" hidden="0" customHeight="1">
      <x:c r="A145" t="str">
        <x:v>O0144</x:v>
      </x:c>
      <x:c r="B145" s="10" t="n">
        <x:v>45922</x:v>
      </x:c>
      <x:c r="C145" t="str">
        <x:v>C025</x:v>
      </x:c>
      <x:c r="D145" t="str">
        <x:v>P002</x:v>
      </x:c>
      <x:c r="E145" t="n">
        <x:v>2</x:v>
      </x:c>
      <x:c r="F145" s="12" t="n">
        <x:v>0.15</x:v>
      </x:c>
      <x:c r="G145" t="str">
        <x:v>Retail</x:v>
      </x:c>
    </x:row>
    <x:row r="146" ht="15" hidden="0" customHeight="1">
      <x:c r="A146" t="str">
        <x:v>O0145</x:v>
      </x:c>
      <x:c r="B146" s="10" t="n">
        <x:v>45908</x:v>
      </x:c>
      <x:c r="C146" t="str">
        <x:v>C072</x:v>
      </x:c>
      <x:c r="D146" t="str">
        <x:v>P004</x:v>
      </x:c>
      <x:c r="E146" t="n">
        <x:v>6</x:v>
      </x:c>
      <x:c r="F146" s="12" t="n">
        <x:v>0.05</x:v>
      </x:c>
      <x:c r="G146" t="str">
        <x:v>Partner</x:v>
      </x:c>
    </x:row>
    <x:row r="147" ht="15" hidden="0" customHeight="1">
      <x:c r="A147" t="str">
        <x:v>O0146</x:v>
      </x:c>
      <x:c r="B147" s="10" t="n">
        <x:v>46022</x:v>
      </x:c>
      <x:c r="C147" t="str">
        <x:v>C063</x:v>
      </x:c>
      <x:c r="D147" t="str">
        <x:v>P008</x:v>
      </x:c>
      <x:c r="E147" t="n">
        <x:v>1</x:v>
      </x:c>
      <x:c r="F147" s="12" t="n">
        <x:v>0</x:v>
      </x:c>
      <x:c r="G147" t="str">
        <x:v>Retail</x:v>
      </x:c>
    </x:row>
    <x:row r="148" ht="15" hidden="0" customHeight="1">
      <x:c r="A148" t="str">
        <x:v>O0147</x:v>
      </x:c>
      <x:c r="B148" s="10" t="n">
        <x:v>45771</x:v>
      </x:c>
      <x:c r="C148" t="str">
        <x:v>C052</x:v>
      </x:c>
      <x:c r="D148" t="str">
        <x:v>P012</x:v>
      </x:c>
      <x:c r="E148" t="n">
        <x:v>2</x:v>
      </x:c>
      <x:c r="F148" s="12" t="n">
        <x:v>0</x:v>
      </x:c>
      <x:c r="G148" t="str">
        <x:v>Partner</x:v>
      </x:c>
    </x:row>
    <x:row r="149" ht="15" hidden="0" customHeight="1">
      <x:c r="A149" t="str">
        <x:v>O0148</x:v>
      </x:c>
      <x:c r="B149" s="10" t="n">
        <x:v>45955</x:v>
      </x:c>
      <x:c r="C149" t="str">
        <x:v>C048</x:v>
      </x:c>
      <x:c r="D149" t="str">
        <x:v>P008</x:v>
      </x:c>
      <x:c r="E149" t="n">
        <x:v>5</x:v>
      </x:c>
      <x:c r="F149" s="12" t="n">
        <x:v>0.1</x:v>
      </x:c>
      <x:c r="G149" t="str">
        <x:v>Retail</x:v>
      </x:c>
    </x:row>
    <x:row r="150" ht="15" hidden="0" customHeight="1">
      <x:c r="A150" t="str">
        <x:v>O0149</x:v>
      </x:c>
      <x:c r="B150" s="10" t="n">
        <x:v>45875</x:v>
      </x:c>
      <x:c r="C150" t="str">
        <x:v>C071</x:v>
      </x:c>
      <x:c r="D150" t="str">
        <x:v>P006</x:v>
      </x:c>
      <x:c r="E150" t="n">
        <x:v>3</x:v>
      </x:c>
      <x:c r="F150" s="12" t="n">
        <x:v>0.15</x:v>
      </x:c>
      <x:c r="G150" t="str">
        <x:v>Retail</x:v>
      </x:c>
    </x:row>
    <x:row r="151" ht="15" hidden="0" customHeight="1">
      <x:c r="A151" t="str">
        <x:v>O0150</x:v>
      </x:c>
      <x:c r="B151" s="10" t="n">
        <x:v>45796</x:v>
      </x:c>
      <x:c r="C151" t="str">
        <x:v>C040</x:v>
      </x:c>
      <x:c r="D151" t="str">
        <x:v>P005</x:v>
      </x:c>
      <x:c r="E151" t="n">
        <x:v>2</x:v>
      </x:c>
      <x:c r="F151" s="12" t="n">
        <x:v>0</x:v>
      </x:c>
      <x:c r="G151" t="str">
        <x:v>Partner</x:v>
      </x:c>
    </x:row>
    <x:row r="152" ht="15" hidden="0" customHeight="1">
      <x:c r="A152" t="str">
        <x:v>O0151</x:v>
      </x:c>
      <x:c r="B152" s="10" t="n">
        <x:v>45756</x:v>
      </x:c>
      <x:c r="C152" t="str">
        <x:v>C041</x:v>
      </x:c>
      <x:c r="D152" t="str">
        <x:v>P002</x:v>
      </x:c>
      <x:c r="E152" t="n">
        <x:v>6</x:v>
      </x:c>
      <x:c r="F152" s="12" t="n">
        <x:v>0.1</x:v>
      </x:c>
      <x:c r="G152" t="str">
        <x:v>Partner</x:v>
      </x:c>
    </x:row>
    <x:row r="153" ht="15" hidden="0" customHeight="1">
      <x:c r="A153" t="str">
        <x:v>O0152</x:v>
      </x:c>
      <x:c r="B153" s="10" t="n">
        <x:v>45752</x:v>
      </x:c>
      <x:c r="C153" t="str">
        <x:v>C025</x:v>
      </x:c>
      <x:c r="D153" t="str">
        <x:v>P004</x:v>
      </x:c>
      <x:c r="E153" t="n">
        <x:v>6</x:v>
      </x:c>
      <x:c r="F153" s="12" t="n">
        <x:v>0.05</x:v>
      </x:c>
      <x:c r="G153" t="str">
        <x:v>Retail</x:v>
      </x:c>
    </x:row>
    <x:row r="154" ht="15" hidden="0" customHeight="1">
      <x:c r="A154" t="str">
        <x:v>O0153</x:v>
      </x:c>
      <x:c r="B154" s="10" t="n">
        <x:v>45959</x:v>
      </x:c>
      <x:c r="C154" t="str">
        <x:v>C068</x:v>
      </x:c>
      <x:c r="D154" t="str">
        <x:v>P010</x:v>
      </x:c>
      <x:c r="E154" t="n">
        <x:v>3</x:v>
      </x:c>
      <x:c r="F154" s="12" t="n">
        <x:v>0</x:v>
      </x:c>
      <x:c r="G154" t="str">
        <x:v>Online</x:v>
      </x:c>
    </x:row>
    <x:row r="155" ht="15" hidden="0" customHeight="1">
      <x:c r="A155" t="str">
        <x:v>O0154</x:v>
      </x:c>
      <x:c r="B155" s="10" t="n">
        <x:v>45809</x:v>
      </x:c>
      <x:c r="C155" t="str">
        <x:v>C030</x:v>
      </x:c>
      <x:c r="D155" t="str">
        <x:v>P006</x:v>
      </x:c>
      <x:c r="E155" t="n">
        <x:v>2</x:v>
      </x:c>
      <x:c r="F155" s="12" t="n">
        <x:v>0</x:v>
      </x:c>
      <x:c r="G155" t="str">
        <x:v>Online</x:v>
      </x:c>
    </x:row>
    <x:row r="156" ht="15" hidden="0" customHeight="1">
      <x:c r="A156" t="str">
        <x:v>O0155</x:v>
      </x:c>
      <x:c r="B156" s="10" t="n">
        <x:v>46020</x:v>
      </x:c>
      <x:c r="C156" t="str">
        <x:v>C069</x:v>
      </x:c>
      <x:c r="D156" t="str">
        <x:v>P003</x:v>
      </x:c>
      <x:c r="E156" t="n">
        <x:v>3</x:v>
      </x:c>
      <x:c r="F156" s="12" t="n">
        <x:v>0</x:v>
      </x:c>
      <x:c r="G156" t="str">
        <x:v>Online</x:v>
      </x:c>
    </x:row>
    <x:row r="157" ht="15" hidden="0" customHeight="1">
      <x:c r="A157" t="str">
        <x:v>O0156</x:v>
      </x:c>
      <x:c r="B157" s="10" t="n">
        <x:v>45941</x:v>
      </x:c>
      <x:c r="C157" t="str">
        <x:v>C038</x:v>
      </x:c>
      <x:c r="D157" t="str">
        <x:v>P012</x:v>
      </x:c>
      <x:c r="E157" t="n">
        <x:v>2</x:v>
      </x:c>
      <x:c r="F157" s="12" t="n">
        <x:v>0.15</x:v>
      </x:c>
      <x:c r="G157" t="str">
        <x:v>Retail</x:v>
      </x:c>
    </x:row>
    <x:row r="158" ht="15" hidden="0" customHeight="1">
      <x:c r="A158" t="str">
        <x:v>O0157</x:v>
      </x:c>
      <x:c r="B158" s="10" t="n">
        <x:v>45710</x:v>
      </x:c>
      <x:c r="C158" t="str">
        <x:v>C002</x:v>
      </x:c>
      <x:c r="D158" t="str">
        <x:v>P010</x:v>
      </x:c>
      <x:c r="E158" t="n">
        <x:v>3</x:v>
      </x:c>
      <x:c r="F158" s="12" t="n">
        <x:v>0.05</x:v>
      </x:c>
      <x:c r="G158" t="str">
        <x:v>Retail</x:v>
      </x:c>
    </x:row>
    <x:row r="159" ht="15" hidden="0" customHeight="1">
      <x:c r="A159" t="str">
        <x:v>O0158</x:v>
      </x:c>
      <x:c r="B159" s="10" t="n">
        <x:v>45883</x:v>
      </x:c>
      <x:c r="C159" t="str">
        <x:v>C044</x:v>
      </x:c>
      <x:c r="D159" t="str">
        <x:v>P003</x:v>
      </x:c>
      <x:c r="E159" t="n">
        <x:v>1</x:v>
      </x:c>
      <x:c r="F159" s="12" t="n">
        <x:v>0</x:v>
      </x:c>
      <x:c r="G159" t="str">
        <x:v>Retail</x:v>
      </x:c>
    </x:row>
    <x:row r="160" ht="15" hidden="0" customHeight="1">
      <x:c r="A160" t="str">
        <x:v>O0159</x:v>
      </x:c>
      <x:c r="B160" s="10" t="n">
        <x:v>45716</x:v>
      </x:c>
      <x:c r="C160" t="str">
        <x:v>C009</x:v>
      </x:c>
      <x:c r="D160" t="str">
        <x:v>P007</x:v>
      </x:c>
      <x:c r="E160" t="n">
        <x:v>4</x:v>
      </x:c>
      <x:c r="F160" s="12" t="n">
        <x:v>0</x:v>
      </x:c>
      <x:c r="G160" t="str">
        <x:v>Partner</x:v>
      </x:c>
    </x:row>
    <x:row r="161" ht="15" hidden="0" customHeight="1">
      <x:c r="A161" t="str">
        <x:v>O0160</x:v>
      </x:c>
      <x:c r="B161" s="10" t="n">
        <x:v>45980</x:v>
      </x:c>
      <x:c r="C161" t="str">
        <x:v>C007</x:v>
      </x:c>
      <x:c r="D161" t="str">
        <x:v>P003</x:v>
      </x:c>
      <x:c r="E161" t="n">
        <x:v>2</x:v>
      </x:c>
      <x:c r="F161" s="12" t="n">
        <x:v>0.1</x:v>
      </x:c>
      <x:c r="G161" t="str">
        <x:v>Retail</x:v>
      </x:c>
    </x:row>
    <x:row r="162" ht="15" hidden="0" customHeight="1">
      <x:c r="A162" t="str">
        <x:v>O0161</x:v>
      </x:c>
      <x:c r="B162" s="10" t="n">
        <x:v>45701</x:v>
      </x:c>
      <x:c r="C162" t="str">
        <x:v>C032</x:v>
      </x:c>
      <x:c r="D162" t="str">
        <x:v>P002</x:v>
      </x:c>
      <x:c r="E162" t="n">
        <x:v>5</x:v>
      </x:c>
      <x:c r="F162" s="12" t="n">
        <x:v>0.05</x:v>
      </x:c>
      <x:c r="G162" t="str">
        <x:v>Partner</x:v>
      </x:c>
    </x:row>
    <x:row r="163" ht="15" hidden="0" customHeight="1">
      <x:c r="A163" t="str">
        <x:v>O0162</x:v>
      </x:c>
      <x:c r="B163" s="10" t="n">
        <x:v>45963</x:v>
      </x:c>
      <x:c r="C163" t="str">
        <x:v>C080</x:v>
      </x:c>
      <x:c r="D163" t="str">
        <x:v>P004</x:v>
      </x:c>
      <x:c r="E163" t="n">
        <x:v>5</x:v>
      </x:c>
      <x:c r="F163" s="12" t="n">
        <x:v>0.05</x:v>
      </x:c>
      <x:c r="G163" t="str">
        <x:v>Retail</x:v>
      </x:c>
    </x:row>
    <x:row r="164" ht="15" hidden="0" customHeight="1">
      <x:c r="A164" t="str">
        <x:v>O0163</x:v>
      </x:c>
      <x:c r="B164" s="10" t="n">
        <x:v>45884</x:v>
      </x:c>
      <x:c r="C164" t="str">
        <x:v>C039</x:v>
      </x:c>
      <x:c r="D164" t="str">
        <x:v>P010</x:v>
      </x:c>
      <x:c r="E164" t="n">
        <x:v>4</x:v>
      </x:c>
      <x:c r="F164" s="12" t="n">
        <x:v>0</x:v>
      </x:c>
      <x:c r="G164" t="str">
        <x:v>Partner</x:v>
      </x:c>
    </x:row>
    <x:row r="165" ht="15" hidden="0" customHeight="1">
      <x:c r="A165" t="str">
        <x:v>O0164</x:v>
      </x:c>
      <x:c r="B165" s="10" t="n">
        <x:v>45975</x:v>
      </x:c>
      <x:c r="C165" t="str">
        <x:v>C008</x:v>
      </x:c>
      <x:c r="D165" t="str">
        <x:v>P010</x:v>
      </x:c>
      <x:c r="E165" t="n">
        <x:v>6</x:v>
      </x:c>
      <x:c r="F165" s="12" t="n">
        <x:v>0</x:v>
      </x:c>
      <x:c r="G165" t="str">
        <x:v>Online</x:v>
      </x:c>
    </x:row>
    <x:row r="166" ht="15" hidden="0" customHeight="1">
      <x:c r="A166" t="str">
        <x:v>O0165</x:v>
      </x:c>
      <x:c r="B166" s="10" t="n">
        <x:v>45978</x:v>
      </x:c>
      <x:c r="C166" t="str">
        <x:v>C028</x:v>
      </x:c>
      <x:c r="D166" t="str">
        <x:v>P005</x:v>
      </x:c>
      <x:c r="E166" t="n">
        <x:v>6</x:v>
      </x:c>
      <x:c r="F166" s="12" t="n">
        <x:v>0</x:v>
      </x:c>
      <x:c r="G166" t="str">
        <x:v>Online</x:v>
      </x:c>
    </x:row>
    <x:row r="167" ht="15" hidden="0" customHeight="1">
      <x:c r="A167" t="str">
        <x:v>O0166</x:v>
      </x:c>
      <x:c r="B167" s="10" t="n">
        <x:v>45780</x:v>
      </x:c>
      <x:c r="C167" t="str">
        <x:v>C023</x:v>
      </x:c>
      <x:c r="D167" t="str">
        <x:v>P009</x:v>
      </x:c>
      <x:c r="E167" t="n">
        <x:v>1</x:v>
      </x:c>
      <x:c r="F167" s="12" t="n">
        <x:v>0</x:v>
      </x:c>
      <x:c r="G167" t="str">
        <x:v>Online</x:v>
      </x:c>
    </x:row>
    <x:row r="168" ht="15" hidden="0" customHeight="1">
      <x:c r="A168" t="str">
        <x:v>O0167</x:v>
      </x:c>
      <x:c r="B168" s="10" t="n">
        <x:v>45867</x:v>
      </x:c>
      <x:c r="C168" t="str">
        <x:v>C058</x:v>
      </x:c>
      <x:c r="D168" t="str">
        <x:v>P012</x:v>
      </x:c>
      <x:c r="E168" t="n">
        <x:v>5</x:v>
      </x:c>
      <x:c r="F168" s="12" t="n">
        <x:v>0.05</x:v>
      </x:c>
      <x:c r="G168" t="str">
        <x:v>Retail</x:v>
      </x:c>
    </x:row>
    <x:row r="169" ht="15" hidden="0" customHeight="1">
      <x:c r="A169" t="str">
        <x:v>O0168</x:v>
      </x:c>
      <x:c r="B169" s="10" t="n">
        <x:v>45674</x:v>
      </x:c>
      <x:c r="C169" t="str">
        <x:v>C030</x:v>
      </x:c>
      <x:c r="D169" t="str">
        <x:v>P005</x:v>
      </x:c>
      <x:c r="E169" t="n">
        <x:v>6</x:v>
      </x:c>
      <x:c r="F169" s="12" t="n">
        <x:v>0</x:v>
      </x:c>
      <x:c r="G169" t="str">
        <x:v>Partner</x:v>
      </x:c>
    </x:row>
    <x:row r="170" ht="15" hidden="0" customHeight="1">
      <x:c r="A170" t="str">
        <x:v>O0169</x:v>
      </x:c>
      <x:c r="B170" s="10" t="n">
        <x:v>45890</x:v>
      </x:c>
      <x:c r="C170" t="str">
        <x:v>C010</x:v>
      </x:c>
      <x:c r="D170" t="str">
        <x:v>P011</x:v>
      </x:c>
      <x:c r="E170" t="n">
        <x:v>2</x:v>
      </x:c>
      <x:c r="F170" s="12" t="n">
        <x:v>0</x:v>
      </x:c>
      <x:c r="G170" t="str">
        <x:v>Partner</x:v>
      </x:c>
    </x:row>
    <x:row r="171" ht="15" hidden="0" customHeight="1">
      <x:c r="A171" t="str">
        <x:v>O0170</x:v>
      </x:c>
      <x:c r="B171" s="10" t="n">
        <x:v>45959</x:v>
      </x:c>
      <x:c r="C171" t="str">
        <x:v>C026</x:v>
      </x:c>
      <x:c r="D171" t="str">
        <x:v>P007</x:v>
      </x:c>
      <x:c r="E171" t="n">
        <x:v>1</x:v>
      </x:c>
      <x:c r="F171" s="12" t="n">
        <x:v>0.1</x:v>
      </x:c>
      <x:c r="G171" t="str">
        <x:v>Online</x:v>
      </x:c>
    </x:row>
    <x:row r="172" ht="15" hidden="0" customHeight="1">
      <x:c r="A172" t="str">
        <x:v>O0171</x:v>
      </x:c>
      <x:c r="B172" s="10" t="n">
        <x:v>45989</x:v>
      </x:c>
      <x:c r="C172" t="str">
        <x:v>C020</x:v>
      </x:c>
      <x:c r="D172" t="str">
        <x:v>P005</x:v>
      </x:c>
      <x:c r="E172" t="n">
        <x:v>2</x:v>
      </x:c>
      <x:c r="F172" s="12" t="n">
        <x:v>0</x:v>
      </x:c>
      <x:c r="G172" t="str">
        <x:v>Online</x:v>
      </x:c>
    </x:row>
    <x:row r="173" ht="15" hidden="0" customHeight="1">
      <x:c r="A173" t="str">
        <x:v>O0172</x:v>
      </x:c>
      <x:c r="B173" s="10" t="n">
        <x:v>45742</x:v>
      </x:c>
      <x:c r="C173" t="str">
        <x:v>C040</x:v>
      </x:c>
      <x:c r="D173" t="str">
        <x:v>P010</x:v>
      </x:c>
      <x:c r="E173" t="n">
        <x:v>6</x:v>
      </x:c>
      <x:c r="F173" s="12" t="n">
        <x:v>0.1</x:v>
      </x:c>
      <x:c r="G173" t="str">
        <x:v>Retail</x:v>
      </x:c>
    </x:row>
    <x:row r="174" ht="15" hidden="0" customHeight="1">
      <x:c r="A174" t="str">
        <x:v>O0173</x:v>
      </x:c>
      <x:c r="B174" s="10" t="n">
        <x:v>45882</x:v>
      </x:c>
      <x:c r="C174" t="str">
        <x:v>C016</x:v>
      </x:c>
      <x:c r="D174" t="str">
        <x:v>P008</x:v>
      </x:c>
      <x:c r="E174" t="n">
        <x:v>6</x:v>
      </x:c>
      <x:c r="F174" s="12" t="n">
        <x:v>0</x:v>
      </x:c>
      <x:c r="G174" t="str">
        <x:v>Partner</x:v>
      </x:c>
    </x:row>
    <x:row r="175" ht="15" hidden="0" customHeight="1">
      <x:c r="A175" t="str">
        <x:v>O0174</x:v>
      </x:c>
      <x:c r="B175" s="10" t="n">
        <x:v>45864</x:v>
      </x:c>
      <x:c r="C175" t="str">
        <x:v>C035</x:v>
      </x:c>
      <x:c r="D175" t="str">
        <x:v>P009</x:v>
      </x:c>
      <x:c r="E175" t="n">
        <x:v>5</x:v>
      </x:c>
      <x:c r="F175" s="12" t="n">
        <x:v>0.05</x:v>
      </x:c>
      <x:c r="G175" t="str">
        <x:v>Retail</x:v>
      </x:c>
    </x:row>
    <x:row r="176" ht="15" hidden="0" customHeight="1">
      <x:c r="A176" t="str">
        <x:v>O0175</x:v>
      </x:c>
      <x:c r="B176" s="10" t="n">
        <x:v>45699</x:v>
      </x:c>
      <x:c r="C176" t="str">
        <x:v>C077</x:v>
      </x:c>
      <x:c r="D176" t="str">
        <x:v>P001</x:v>
      </x:c>
      <x:c r="E176" t="n">
        <x:v>4</x:v>
      </x:c>
      <x:c r="F176" s="12" t="n">
        <x:v>0.15</x:v>
      </x:c>
      <x:c r="G176" t="str">
        <x:v>Retail</x:v>
      </x:c>
    </x:row>
    <x:row r="177" ht="15" hidden="0" customHeight="1">
      <x:c r="A177" t="str">
        <x:v>O0176</x:v>
      </x:c>
      <x:c r="B177" s="10" t="n">
        <x:v>45967</x:v>
      </x:c>
      <x:c r="C177" t="str">
        <x:v>C033</x:v>
      </x:c>
      <x:c r="D177" t="str">
        <x:v>P001</x:v>
      </x:c>
      <x:c r="E177" t="n">
        <x:v>1</x:v>
      </x:c>
      <x:c r="F177" s="12" t="n">
        <x:v>0</x:v>
      </x:c>
      <x:c r="G177" t="str">
        <x:v>Partner</x:v>
      </x:c>
    </x:row>
    <x:row r="178" ht="15" hidden="0" customHeight="1">
      <x:c r="A178" t="str">
        <x:v>O0177</x:v>
      </x:c>
      <x:c r="B178" s="10" t="n">
        <x:v>45952</x:v>
      </x:c>
      <x:c r="C178" t="str">
        <x:v>C076</x:v>
      </x:c>
      <x:c r="D178" t="str">
        <x:v>P001</x:v>
      </x:c>
      <x:c r="E178" t="n">
        <x:v>6</x:v>
      </x:c>
      <x:c r="F178" s="12" t="n">
        <x:v>0</x:v>
      </x:c>
      <x:c r="G178" t="str">
        <x:v>Partner</x:v>
      </x:c>
    </x:row>
    <x:row r="179" ht="15" hidden="0" customHeight="1">
      <x:c r="A179" t="str">
        <x:v>O0178</x:v>
      </x:c>
      <x:c r="B179" s="10" t="n">
        <x:v>45678</x:v>
      </x:c>
      <x:c r="C179" t="str">
        <x:v>C023</x:v>
      </x:c>
      <x:c r="D179" t="str">
        <x:v>P008</x:v>
      </x:c>
      <x:c r="E179" t="n">
        <x:v>5</x:v>
      </x:c>
      <x:c r="F179" s="12" t="n">
        <x:v>0.15</x:v>
      </x:c>
      <x:c r="G179" t="str">
        <x:v>Retail</x:v>
      </x:c>
    </x:row>
    <x:row r="180" ht="15" hidden="0" customHeight="1">
      <x:c r="A180" t="str">
        <x:v>O0179</x:v>
      </x:c>
      <x:c r="B180" s="10" t="n">
        <x:v>45800</x:v>
      </x:c>
      <x:c r="C180" t="str">
        <x:v>C024</x:v>
      </x:c>
      <x:c r="D180" t="str">
        <x:v>P010</x:v>
      </x:c>
      <x:c r="E180" t="n">
        <x:v>4</x:v>
      </x:c>
      <x:c r="F180" s="12" t="n">
        <x:v>0.15</x:v>
      </x:c>
      <x:c r="G180" t="str">
        <x:v>Retail</x:v>
      </x:c>
    </x:row>
    <x:row r="181" ht="15" hidden="0" customHeight="1">
      <x:c r="A181" t="str">
        <x:v>O0180</x:v>
      </x:c>
      <x:c r="B181" s="10" t="n">
        <x:v>45704</x:v>
      </x:c>
      <x:c r="C181" t="str">
        <x:v>C061</x:v>
      </x:c>
      <x:c r="D181" t="str">
        <x:v>P006</x:v>
      </x:c>
      <x:c r="E181" t="n">
        <x:v>4</x:v>
      </x:c>
      <x:c r="F181" s="12" t="n">
        <x:v>0</x:v>
      </x:c>
      <x:c r="G181" t="str">
        <x:v>Retail</x:v>
      </x:c>
    </x:row>
    <x:row r="182" ht="15" hidden="0" customHeight="1">
      <x:c r="A182" t="str">
        <x:v>O0181</x:v>
      </x:c>
      <x:c r="B182" s="10" t="n">
        <x:v>46001</x:v>
      </x:c>
      <x:c r="C182" t="str">
        <x:v>C014</x:v>
      </x:c>
      <x:c r="D182" t="str">
        <x:v>P003</x:v>
      </x:c>
      <x:c r="E182" t="n">
        <x:v>3</x:v>
      </x:c>
      <x:c r="F182" s="12" t="n">
        <x:v>0.05</x:v>
      </x:c>
      <x:c r="G182" t="str">
        <x:v>Partner</x:v>
      </x:c>
    </x:row>
    <x:row r="183" ht="15" hidden="0" customHeight="1">
      <x:c r="A183" t="str">
        <x:v>O0182</x:v>
      </x:c>
      <x:c r="B183" s="10" t="n">
        <x:v>45911</x:v>
      </x:c>
      <x:c r="C183" t="str">
        <x:v>C037</x:v>
      </x:c>
      <x:c r="D183" t="str">
        <x:v>P011</x:v>
      </x:c>
      <x:c r="E183" t="n">
        <x:v>4</x:v>
      </x:c>
      <x:c r="F183" s="12" t="n">
        <x:v>0.1</x:v>
      </x:c>
      <x:c r="G183" t="str">
        <x:v>Online</x:v>
      </x:c>
    </x:row>
    <x:row r="184" ht="15" hidden="0" customHeight="1">
      <x:c r="A184" t="str">
        <x:v>O0183</x:v>
      </x:c>
      <x:c r="B184" s="10" t="n">
        <x:v>45890</x:v>
      </x:c>
      <x:c r="C184" t="str">
        <x:v>C012</x:v>
      </x:c>
      <x:c r="D184" t="str">
        <x:v>P006</x:v>
      </x:c>
      <x:c r="E184" t="n">
        <x:v>3</x:v>
      </x:c>
      <x:c r="F184" s="12" t="n">
        <x:v>0</x:v>
      </x:c>
      <x:c r="G184" t="str">
        <x:v>Online</x:v>
      </x:c>
    </x:row>
    <x:row r="185" ht="15" hidden="0" customHeight="1">
      <x:c r="A185" t="str">
        <x:v>O0184</x:v>
      </x:c>
      <x:c r="B185" s="10" t="n">
        <x:v>45864</x:v>
      </x:c>
      <x:c r="C185" t="str">
        <x:v>C066</x:v>
      </x:c>
      <x:c r="D185" t="str">
        <x:v>P001</x:v>
      </x:c>
      <x:c r="E185" t="n">
        <x:v>6</x:v>
      </x:c>
      <x:c r="F185" s="12" t="n">
        <x:v>0.1</x:v>
      </x:c>
      <x:c r="G185" t="str">
        <x:v>Retail</x:v>
      </x:c>
    </x:row>
    <x:row r="186" ht="15" hidden="0" customHeight="1">
      <x:c r="A186" t="str">
        <x:v>O0185</x:v>
      </x:c>
      <x:c r="B186" s="10" t="n">
        <x:v>45869</x:v>
      </x:c>
      <x:c r="C186" t="str">
        <x:v>C007</x:v>
      </x:c>
      <x:c r="D186" t="str">
        <x:v>P004</x:v>
      </x:c>
      <x:c r="E186" t="n">
        <x:v>5</x:v>
      </x:c>
      <x:c r="F186" s="12" t="n">
        <x:v>0</x:v>
      </x:c>
      <x:c r="G186" t="str">
        <x:v>Partner</x:v>
      </x:c>
    </x:row>
    <x:row r="187" ht="15" hidden="0" customHeight="1">
      <x:c r="A187" t="str">
        <x:v>O0186</x:v>
      </x:c>
      <x:c r="B187" s="10" t="n">
        <x:v>45913</x:v>
      </x:c>
      <x:c r="C187" t="str">
        <x:v>C057</x:v>
      </x:c>
      <x:c r="D187" t="str">
        <x:v>P001</x:v>
      </x:c>
      <x:c r="E187" t="n">
        <x:v>2</x:v>
      </x:c>
      <x:c r="F187" s="12" t="n">
        <x:v>0</x:v>
      </x:c>
      <x:c r="G187" t="str">
        <x:v>Partner</x:v>
      </x:c>
    </x:row>
    <x:row r="188" ht="15" hidden="0" customHeight="1">
      <x:c r="A188" t="str">
        <x:v>O0187</x:v>
      </x:c>
      <x:c r="B188" s="10" t="n">
        <x:v>45725</x:v>
      </x:c>
      <x:c r="C188" t="str">
        <x:v>C037</x:v>
      </x:c>
      <x:c r="D188" t="str">
        <x:v>P008</x:v>
      </x:c>
      <x:c r="E188" t="n">
        <x:v>6</x:v>
      </x:c>
      <x:c r="F188" s="12" t="n">
        <x:v>0.05</x:v>
      </x:c>
      <x:c r="G188" t="str">
        <x:v>Online</x:v>
      </x:c>
    </x:row>
    <x:row r="189" ht="15" hidden="0" customHeight="1">
      <x:c r="A189" t="str">
        <x:v>O0188</x:v>
      </x:c>
      <x:c r="B189" s="10" t="n">
        <x:v>45672</x:v>
      </x:c>
      <x:c r="C189" t="str">
        <x:v>C078</x:v>
      </x:c>
      <x:c r="D189" t="str">
        <x:v>P004</x:v>
      </x:c>
      <x:c r="E189" t="n">
        <x:v>6</x:v>
      </x:c>
      <x:c r="F189" s="12" t="n">
        <x:v>0</x:v>
      </x:c>
      <x:c r="G189" t="str">
        <x:v>Retail</x:v>
      </x:c>
    </x:row>
    <x:row r="190" ht="15" hidden="0" customHeight="1">
      <x:c r="A190" t="str">
        <x:v>O0189</x:v>
      </x:c>
      <x:c r="B190" s="10" t="n">
        <x:v>45940</x:v>
      </x:c>
      <x:c r="C190" t="str">
        <x:v>C002</x:v>
      </x:c>
      <x:c r="D190" t="str">
        <x:v>P009</x:v>
      </x:c>
      <x:c r="E190" t="n">
        <x:v>4</x:v>
      </x:c>
      <x:c r="F190" s="12" t="n">
        <x:v>0</x:v>
      </x:c>
      <x:c r="G190" t="str">
        <x:v>Online</x:v>
      </x:c>
    </x:row>
    <x:row r="191" ht="15" hidden="0" customHeight="1">
      <x:c r="A191" t="str">
        <x:v>O0190</x:v>
      </x:c>
      <x:c r="B191" s="10" t="n">
        <x:v>45716</x:v>
      </x:c>
      <x:c r="C191" t="str">
        <x:v>C060</x:v>
      </x:c>
      <x:c r="D191" t="str">
        <x:v>P002</x:v>
      </x:c>
      <x:c r="E191" t="n">
        <x:v>6</x:v>
      </x:c>
      <x:c r="F191" s="12" t="n">
        <x:v>0</x:v>
      </x:c>
      <x:c r="G191" t="str">
        <x:v>Retail</x:v>
      </x:c>
    </x:row>
    <x:row r="192" ht="15" hidden="0" customHeight="1">
      <x:c r="A192" t="str">
        <x:v>O0191</x:v>
      </x:c>
      <x:c r="B192" s="10" t="n">
        <x:v>45807</x:v>
      </x:c>
      <x:c r="C192" t="str">
        <x:v>C066</x:v>
      </x:c>
      <x:c r="D192" t="str">
        <x:v>P012</x:v>
      </x:c>
      <x:c r="E192" t="n">
        <x:v>3</x:v>
      </x:c>
      <x:c r="F192" s="12" t="n">
        <x:v>0.05</x:v>
      </x:c>
      <x:c r="G192" t="str">
        <x:v>Retail</x:v>
      </x:c>
    </x:row>
    <x:row r="193" ht="15" hidden="0" customHeight="1">
      <x:c r="A193" t="str">
        <x:v>O0192</x:v>
      </x:c>
      <x:c r="B193" s="10" t="n">
        <x:v>45899</x:v>
      </x:c>
      <x:c r="C193" t="str">
        <x:v>C032</x:v>
      </x:c>
      <x:c r="D193" t="str">
        <x:v>P008</x:v>
      </x:c>
      <x:c r="E193" t="n">
        <x:v>5</x:v>
      </x:c>
      <x:c r="F193" s="12" t="n">
        <x:v>0</x:v>
      </x:c>
      <x:c r="G193" t="str">
        <x:v>Retail</x:v>
      </x:c>
    </x:row>
    <x:row r="194" ht="15" hidden="0" customHeight="1">
      <x:c r="A194" t="str">
        <x:v>O0193</x:v>
      </x:c>
      <x:c r="B194" s="10" t="n">
        <x:v>45755</x:v>
      </x:c>
      <x:c r="C194" t="str">
        <x:v>C077</x:v>
      </x:c>
      <x:c r="D194" t="str">
        <x:v>P009</x:v>
      </x:c>
      <x:c r="E194" t="n">
        <x:v>6</x:v>
      </x:c>
      <x:c r="F194" s="12" t="n">
        <x:v>0</x:v>
      </x:c>
      <x:c r="G194" t="str">
        <x:v>Online</x:v>
      </x:c>
    </x:row>
    <x:row r="195" ht="15" hidden="0" customHeight="1">
      <x:c r="A195" t="str">
        <x:v>O0194</x:v>
      </x:c>
      <x:c r="B195" s="10" t="n">
        <x:v>45799</x:v>
      </x:c>
      <x:c r="C195" t="str">
        <x:v>C054</x:v>
      </x:c>
      <x:c r="D195" t="str">
        <x:v>P006</x:v>
      </x:c>
      <x:c r="E195" t="n">
        <x:v>5</x:v>
      </x:c>
      <x:c r="F195" s="12" t="n">
        <x:v>0</x:v>
      </x:c>
      <x:c r="G195" t="str">
        <x:v>Online</x:v>
      </x:c>
    </x:row>
    <x:row r="196" ht="15" hidden="0" customHeight="1">
      <x:c r="A196" t="str">
        <x:v>O0195</x:v>
      </x:c>
      <x:c r="B196" s="10" t="n">
        <x:v>45802</x:v>
      </x:c>
      <x:c r="C196" t="str">
        <x:v>C039</x:v>
      </x:c>
      <x:c r="D196" t="str">
        <x:v>P010</x:v>
      </x:c>
      <x:c r="E196" t="n">
        <x:v>5</x:v>
      </x:c>
      <x:c r="F196" s="12" t="n">
        <x:v>0.15</x:v>
      </x:c>
      <x:c r="G196" t="str">
        <x:v>Retail</x:v>
      </x:c>
    </x:row>
    <x:row r="197" ht="15" hidden="0" customHeight="1">
      <x:c r="A197" t="str">
        <x:v>O0196</x:v>
      </x:c>
      <x:c r="B197" s="10" t="n">
        <x:v>45734</x:v>
      </x:c>
      <x:c r="C197" t="str">
        <x:v>C058</x:v>
      </x:c>
      <x:c r="D197" t="str">
        <x:v>P009</x:v>
      </x:c>
      <x:c r="E197" t="n">
        <x:v>4</x:v>
      </x:c>
      <x:c r="F197" s="12" t="n">
        <x:v>0</x:v>
      </x:c>
      <x:c r="G197" t="str">
        <x:v>Retail</x:v>
      </x:c>
    </x:row>
    <x:row r="198" ht="15" hidden="0" customHeight="1">
      <x:c r="A198" t="str">
        <x:v>O0197</x:v>
      </x:c>
      <x:c r="B198" s="10" t="n">
        <x:v>45940</x:v>
      </x:c>
      <x:c r="C198" t="str">
        <x:v>C070</x:v>
      </x:c>
      <x:c r="D198" t="str">
        <x:v>P007</x:v>
      </x:c>
      <x:c r="E198" t="n">
        <x:v>4</x:v>
      </x:c>
      <x:c r="F198" s="12" t="n">
        <x:v>0</x:v>
      </x:c>
      <x:c r="G198" t="str">
        <x:v>Online</x:v>
      </x:c>
    </x:row>
    <x:row r="199" ht="15" hidden="0" customHeight="1">
      <x:c r="A199" t="str">
        <x:v>O0198</x:v>
      </x:c>
      <x:c r="B199" s="10" t="n">
        <x:v>46015</x:v>
      </x:c>
      <x:c r="C199" t="str">
        <x:v>C031</x:v>
      </x:c>
      <x:c r="D199" t="str">
        <x:v>P010</x:v>
      </x:c>
      <x:c r="E199" t="n">
        <x:v>4</x:v>
      </x:c>
      <x:c r="F199" s="12" t="n">
        <x:v>0</x:v>
      </x:c>
      <x:c r="G199" t="str">
        <x:v>Retail</x:v>
      </x:c>
    </x:row>
    <x:row r="200" ht="15" hidden="0" customHeight="1">
      <x:c r="A200" t="str">
        <x:v>O0199</x:v>
      </x:c>
      <x:c r="B200" s="10" t="n">
        <x:v>45680</x:v>
      </x:c>
      <x:c r="C200" t="str">
        <x:v>C041</x:v>
      </x:c>
      <x:c r="D200" t="str">
        <x:v>P012</x:v>
      </x:c>
      <x:c r="E200" t="n">
        <x:v>4</x:v>
      </x:c>
      <x:c r="F200" s="12" t="n">
        <x:v>0.15</x:v>
      </x:c>
      <x:c r="G200" t="str">
        <x:v>Retail</x:v>
      </x:c>
    </x:row>
    <x:row r="201" ht="15" hidden="0" customHeight="1">
      <x:c r="A201" t="str">
        <x:v>O0200</x:v>
      </x:c>
      <x:c r="B201" s="10" t="n">
        <x:v>45855</x:v>
      </x:c>
      <x:c r="C201" t="str">
        <x:v>C020</x:v>
      </x:c>
      <x:c r="D201" t="str">
        <x:v>P008</x:v>
      </x:c>
      <x:c r="E201" t="n">
        <x:v>1</x:v>
      </x:c>
      <x:c r="F201" s="12" t="n">
        <x:v>0</x:v>
      </x:c>
      <x:c r="G201" t="str">
        <x:v>Partner</x:v>
      </x:c>
    </x:row>
    <x:row r="202" ht="15" hidden="0" customHeight="1">
      <x:c r="A202" t="str">
        <x:v>O0201</x:v>
      </x:c>
      <x:c r="B202" s="10" t="n">
        <x:v>45960</x:v>
      </x:c>
      <x:c r="C202" t="str">
        <x:v>C043</x:v>
      </x:c>
      <x:c r="D202" t="str">
        <x:v>P002</x:v>
      </x:c>
      <x:c r="E202" t="n">
        <x:v>4</x:v>
      </x:c>
      <x:c r="F202" s="12" t="n">
        <x:v>0</x:v>
      </x:c>
      <x:c r="G202" t="str">
        <x:v>Partner</x:v>
      </x:c>
    </x:row>
    <x:row r="203" ht="15" hidden="0" customHeight="1">
      <x:c r="A203" t="str">
        <x:v>O0202</x:v>
      </x:c>
      <x:c r="B203" s="10" t="n">
        <x:v>45891</x:v>
      </x:c>
      <x:c r="C203" t="str">
        <x:v>C002</x:v>
      </x:c>
      <x:c r="D203" t="str">
        <x:v>P012</x:v>
      </x:c>
      <x:c r="E203" t="n">
        <x:v>2</x:v>
      </x:c>
      <x:c r="F203" s="12" t="n">
        <x:v>0.05</x:v>
      </x:c>
      <x:c r="G203" t="str">
        <x:v>Partner</x:v>
      </x:c>
    </x:row>
    <x:row r="204" ht="15" hidden="0" customHeight="1">
      <x:c r="A204" t="str">
        <x:v>O0203</x:v>
      </x:c>
      <x:c r="B204" s="10" t="n">
        <x:v>45737</x:v>
      </x:c>
      <x:c r="C204" t="str">
        <x:v>C010</x:v>
      </x:c>
      <x:c r="D204" t="str">
        <x:v>P008</x:v>
      </x:c>
      <x:c r="E204" t="n">
        <x:v>3</x:v>
      </x:c>
      <x:c r="F204" s="12" t="n">
        <x:v>0</x:v>
      </x:c>
      <x:c r="G204" t="str">
        <x:v>Partner</x:v>
      </x:c>
    </x:row>
    <x:row r="205" ht="15" hidden="0" customHeight="1">
      <x:c r="A205" t="str">
        <x:v>O0204</x:v>
      </x:c>
      <x:c r="B205" s="10" t="n">
        <x:v>46012</x:v>
      </x:c>
      <x:c r="C205" t="str">
        <x:v>C051</x:v>
      </x:c>
      <x:c r="D205" t="str">
        <x:v>P011</x:v>
      </x:c>
      <x:c r="E205" t="n">
        <x:v>1</x:v>
      </x:c>
      <x:c r="F205" s="12" t="n">
        <x:v>0</x:v>
      </x:c>
      <x:c r="G205" t="str">
        <x:v>Partner</x:v>
      </x:c>
    </x:row>
    <x:row r="206" ht="15" hidden="0" customHeight="1">
      <x:c r="A206" t="str">
        <x:v>O0205</x:v>
      </x:c>
      <x:c r="B206" s="10" t="n">
        <x:v>45931</x:v>
      </x:c>
      <x:c r="C206" t="str">
        <x:v>C049</x:v>
      </x:c>
      <x:c r="D206" t="str">
        <x:v>P006</x:v>
      </x:c>
      <x:c r="E206" t="n">
        <x:v>6</x:v>
      </x:c>
      <x:c r="F206" s="12" t="n">
        <x:v>0.15</x:v>
      </x:c>
      <x:c r="G206" t="str">
        <x:v>Retail</x:v>
      </x:c>
    </x:row>
    <x:row r="207" ht="15" hidden="0" customHeight="1">
      <x:c r="A207" t="str">
        <x:v>O0206</x:v>
      </x:c>
      <x:c r="B207" s="10" t="n">
        <x:v>45935</x:v>
      </x:c>
      <x:c r="C207" t="str">
        <x:v>C005</x:v>
      </x:c>
      <x:c r="D207" t="str">
        <x:v>P010</x:v>
      </x:c>
      <x:c r="E207" t="n">
        <x:v>1</x:v>
      </x:c>
      <x:c r="F207" s="12" t="n">
        <x:v>0</x:v>
      </x:c>
      <x:c r="G207" t="str">
        <x:v>Partner</x:v>
      </x:c>
    </x:row>
    <x:row r="208" ht="15" hidden="0" customHeight="1">
      <x:c r="A208" t="str">
        <x:v>O0207</x:v>
      </x:c>
      <x:c r="B208" s="10" t="n">
        <x:v>46008</x:v>
      </x:c>
      <x:c r="C208" t="str">
        <x:v>C037</x:v>
      </x:c>
      <x:c r="D208" t="str">
        <x:v>P004</x:v>
      </x:c>
      <x:c r="E208" t="n">
        <x:v>6</x:v>
      </x:c>
      <x:c r="F208" s="12" t="n">
        <x:v>0</x:v>
      </x:c>
      <x:c r="G208" t="str">
        <x:v>Retail</x:v>
      </x:c>
    </x:row>
    <x:row r="209" ht="15" hidden="0" customHeight="1">
      <x:c r="A209" t="str">
        <x:v>O0208</x:v>
      </x:c>
      <x:c r="B209" s="10" t="n">
        <x:v>45708</x:v>
      </x:c>
      <x:c r="C209" t="str">
        <x:v>C013</x:v>
      </x:c>
      <x:c r="D209" t="str">
        <x:v>P008</x:v>
      </x:c>
      <x:c r="E209" t="n">
        <x:v>2</x:v>
      </x:c>
      <x:c r="F209" s="12" t="n">
        <x:v>0.15</x:v>
      </x:c>
      <x:c r="G209" t="str">
        <x:v>Retail</x:v>
      </x:c>
    </x:row>
    <x:row r="210" ht="15" hidden="0" customHeight="1">
      <x:c r="A210" t="str">
        <x:v>O0209</x:v>
      </x:c>
      <x:c r="B210" s="10" t="n">
        <x:v>45672</x:v>
      </x:c>
      <x:c r="C210" t="str">
        <x:v>C006</x:v>
      </x:c>
      <x:c r="D210" t="str">
        <x:v>P006</x:v>
      </x:c>
      <x:c r="E210" t="n">
        <x:v>1</x:v>
      </x:c>
      <x:c r="F210" s="12" t="n">
        <x:v>0</x:v>
      </x:c>
      <x:c r="G210" t="str">
        <x:v>Retail</x:v>
      </x:c>
    </x:row>
    <x:row r="211" ht="15" hidden="0" customHeight="1">
      <x:c r="A211" t="str">
        <x:v>O0210</x:v>
      </x:c>
      <x:c r="B211" s="10" t="n">
        <x:v>45849</x:v>
      </x:c>
      <x:c r="C211" t="str">
        <x:v>C056</x:v>
      </x:c>
      <x:c r="D211" t="str">
        <x:v>P003</x:v>
      </x:c>
      <x:c r="E211" t="n">
        <x:v>2</x:v>
      </x:c>
      <x:c r="F211" s="12" t="n">
        <x:v>0.1</x:v>
      </x:c>
      <x:c r="G211" t="str">
        <x:v>Retail</x:v>
      </x:c>
    </x:row>
    <x:row r="212" ht="15" hidden="0" customHeight="1">
      <x:c r="A212" t="str">
        <x:v>O0211</x:v>
      </x:c>
      <x:c r="B212" s="10" t="n">
        <x:v>45947</x:v>
      </x:c>
      <x:c r="C212" t="str">
        <x:v>C024</x:v>
      </x:c>
      <x:c r="D212" t="str">
        <x:v>P003</x:v>
      </x:c>
      <x:c r="E212" t="n">
        <x:v>2</x:v>
      </x:c>
      <x:c r="F212" s="12" t="n">
        <x:v>0</x:v>
      </x:c>
      <x:c r="G212" t="str">
        <x:v>Partner</x:v>
      </x:c>
    </x:row>
    <x:row r="213" ht="15" hidden="0" customHeight="1">
      <x:c r="A213" t="str">
        <x:v>O0212</x:v>
      </x:c>
      <x:c r="B213" s="10" t="n">
        <x:v>45853</x:v>
      </x:c>
      <x:c r="C213" t="str">
        <x:v>C080</x:v>
      </x:c>
      <x:c r="D213" t="str">
        <x:v>P011</x:v>
      </x:c>
      <x:c r="E213" t="n">
        <x:v>2</x:v>
      </x:c>
      <x:c r="F213" s="12" t="n">
        <x:v>0.05</x:v>
      </x:c>
      <x:c r="G213" t="str">
        <x:v>Partner</x:v>
      </x:c>
    </x:row>
    <x:row r="214" ht="15" hidden="0" customHeight="1">
      <x:c r="A214" t="str">
        <x:v>O0213</x:v>
      </x:c>
      <x:c r="B214" s="10" t="n">
        <x:v>45731</x:v>
      </x:c>
      <x:c r="C214" t="str">
        <x:v>C030</x:v>
      </x:c>
      <x:c r="D214" t="str">
        <x:v>P008</x:v>
      </x:c>
      <x:c r="E214" t="n">
        <x:v>6</x:v>
      </x:c>
      <x:c r="F214" s="12" t="n">
        <x:v>0</x:v>
      </x:c>
      <x:c r="G214" t="str">
        <x:v>Retail</x:v>
      </x:c>
    </x:row>
    <x:row r="215" ht="15" hidden="0" customHeight="1">
      <x:c r="A215" t="str">
        <x:v>O0214</x:v>
      </x:c>
      <x:c r="B215" s="10" t="n">
        <x:v>45788</x:v>
      </x:c>
      <x:c r="C215" t="str">
        <x:v>C002</x:v>
      </x:c>
      <x:c r="D215" t="str">
        <x:v>P008</x:v>
      </x:c>
      <x:c r="E215" t="n">
        <x:v>3</x:v>
      </x:c>
      <x:c r="F215" s="12" t="n">
        <x:v>0.15</x:v>
      </x:c>
      <x:c r="G215" t="str">
        <x:v>Partner</x:v>
      </x:c>
    </x:row>
    <x:row r="216" ht="15" hidden="0" customHeight="1">
      <x:c r="A216" t="str">
        <x:v>O0215</x:v>
      </x:c>
      <x:c r="B216" s="10" t="n">
        <x:v>45738</x:v>
      </x:c>
      <x:c r="C216" t="str">
        <x:v>C010</x:v>
      </x:c>
      <x:c r="D216" t="str">
        <x:v>P008</x:v>
      </x:c>
      <x:c r="E216" t="n">
        <x:v>3</x:v>
      </x:c>
      <x:c r="F216" s="12" t="n">
        <x:v>0.1</x:v>
      </x:c>
      <x:c r="G216" t="str">
        <x:v>Retail</x:v>
      </x:c>
    </x:row>
    <x:row r="217" ht="15" hidden="0" customHeight="1">
      <x:c r="A217" t="str">
        <x:v>O0216</x:v>
      </x:c>
      <x:c r="B217" s="10" t="n">
        <x:v>45985</x:v>
      </x:c>
      <x:c r="C217" t="str">
        <x:v>C055</x:v>
      </x:c>
      <x:c r="D217" t="str">
        <x:v>P012</x:v>
      </x:c>
      <x:c r="E217" t="n">
        <x:v>3</x:v>
      </x:c>
      <x:c r="F217" s="12" t="n">
        <x:v>0.05</x:v>
      </x:c>
      <x:c r="G217" t="str">
        <x:v>Retail</x:v>
      </x:c>
    </x:row>
    <x:row r="218" ht="15" hidden="0" customHeight="1">
      <x:c r="A218" t="str">
        <x:v>O0217</x:v>
      </x:c>
      <x:c r="B218" s="10" t="n">
        <x:v>45759</x:v>
      </x:c>
      <x:c r="C218" t="str">
        <x:v>C050</x:v>
      </x:c>
      <x:c r="D218" t="str">
        <x:v>P008</x:v>
      </x:c>
      <x:c r="E218" t="n">
        <x:v>1</x:v>
      </x:c>
      <x:c r="F218" s="12" t="n">
        <x:v>0</x:v>
      </x:c>
      <x:c r="G218" t="str">
        <x:v>Retail</x:v>
      </x:c>
    </x:row>
    <x:row r="219" ht="15" hidden="0" customHeight="1">
      <x:c r="A219" t="str">
        <x:v>O0218</x:v>
      </x:c>
      <x:c r="B219" s="10" t="n">
        <x:v>45950</x:v>
      </x:c>
      <x:c r="C219" t="str">
        <x:v>C046</x:v>
      </x:c>
      <x:c r="D219" t="str">
        <x:v>P010</x:v>
      </x:c>
      <x:c r="E219" t="n">
        <x:v>3</x:v>
      </x:c>
      <x:c r="F219" s="12" t="n">
        <x:v>0.15</x:v>
      </x:c>
      <x:c r="G219" t="str">
        <x:v>Retail</x:v>
      </x:c>
    </x:row>
    <x:row r="220" ht="15" hidden="0" customHeight="1">
      <x:c r="A220" t="str">
        <x:v>O0219</x:v>
      </x:c>
      <x:c r="B220" s="10" t="n">
        <x:v>45669</x:v>
      </x:c>
      <x:c r="C220" t="str">
        <x:v>C051</x:v>
      </x:c>
      <x:c r="D220" t="str">
        <x:v>P005</x:v>
      </x:c>
      <x:c r="E220" t="n">
        <x:v>1</x:v>
      </x:c>
      <x:c r="F220" s="12" t="n">
        <x:v>0.1</x:v>
      </x:c>
      <x:c r="G220" t="str">
        <x:v>Partner</x:v>
      </x:c>
    </x:row>
    <x:row r="221" ht="15" hidden="0" customHeight="1">
      <x:c r="A221" t="str">
        <x:v>O0220</x:v>
      </x:c>
      <x:c r="B221" s="10" t="n">
        <x:v>45683</x:v>
      </x:c>
      <x:c r="C221" t="str">
        <x:v>C078</x:v>
      </x:c>
      <x:c r="D221" t="str">
        <x:v>P012</x:v>
      </x:c>
      <x:c r="E221" t="n">
        <x:v>4</x:v>
      </x:c>
      <x:c r="F221" s="12" t="n">
        <x:v>0</x:v>
      </x:c>
      <x:c r="G221" t="str">
        <x:v>Online</x:v>
      </x:c>
    </x:row>
    <x:row r="222" ht="15" hidden="0" customHeight="1">
      <x:c r="A222" t="str">
        <x:v>O0221</x:v>
      </x:c>
      <x:c r="B222" s="10" t="n">
        <x:v>45968</x:v>
      </x:c>
      <x:c r="C222" t="str">
        <x:v>C046</x:v>
      </x:c>
      <x:c r="D222" t="str">
        <x:v>P004</x:v>
      </x:c>
      <x:c r="E222" t="n">
        <x:v>6</x:v>
      </x:c>
      <x:c r="F222" s="12" t="n">
        <x:v>0</x:v>
      </x:c>
      <x:c r="G222" t="str">
        <x:v>Partner</x:v>
      </x:c>
    </x:row>
    <x:row r="223" ht="15" hidden="0" customHeight="1">
      <x:c r="A223" t="str">
        <x:v>O0222</x:v>
      </x:c>
      <x:c r="B223" s="10" t="n">
        <x:v>45786</x:v>
      </x:c>
      <x:c r="C223" t="str">
        <x:v>C018</x:v>
      </x:c>
      <x:c r="D223" t="str">
        <x:v>P011</x:v>
      </x:c>
      <x:c r="E223" t="n">
        <x:v>1</x:v>
      </x:c>
      <x:c r="F223" s="12" t="n">
        <x:v>0.15</x:v>
      </x:c>
      <x:c r="G223" t="str">
        <x:v>Partner</x:v>
      </x:c>
    </x:row>
    <x:row r="224" ht="15" hidden="0" customHeight="1">
      <x:c r="A224" t="str">
        <x:v>O0223</x:v>
      </x:c>
      <x:c r="B224" s="10" t="n">
        <x:v>45678</x:v>
      </x:c>
      <x:c r="C224" t="str">
        <x:v>C040</x:v>
      </x:c>
      <x:c r="D224" t="str">
        <x:v>P008</x:v>
      </x:c>
      <x:c r="E224" t="n">
        <x:v>1</x:v>
      </x:c>
      <x:c r="F224" s="12" t="n">
        <x:v>0.1</x:v>
      </x:c>
      <x:c r="G224" t="str">
        <x:v>Retail</x:v>
      </x:c>
    </x:row>
    <x:row r="225" ht="15" hidden="0" customHeight="1">
      <x:c r="A225" t="str">
        <x:v>O0224</x:v>
      </x:c>
      <x:c r="B225" s="10" t="n">
        <x:v>45725</x:v>
      </x:c>
      <x:c r="C225" t="str">
        <x:v>C012</x:v>
      </x:c>
      <x:c r="D225" t="str">
        <x:v>P005</x:v>
      </x:c>
      <x:c r="E225" t="n">
        <x:v>3</x:v>
      </x:c>
      <x:c r="F225" s="12" t="n">
        <x:v>0.15</x:v>
      </x:c>
      <x:c r="G225" t="str">
        <x:v>Retail</x:v>
      </x:c>
    </x:row>
    <x:row r="226" ht="15" hidden="0" customHeight="1">
      <x:c r="A226" t="str">
        <x:v>O0225</x:v>
      </x:c>
      <x:c r="B226" s="10" t="n">
        <x:v>45747</x:v>
      </x:c>
      <x:c r="C226" t="str">
        <x:v>C026</x:v>
      </x:c>
      <x:c r="D226" t="str">
        <x:v>P003</x:v>
      </x:c>
      <x:c r="E226" t="n">
        <x:v>5</x:v>
      </x:c>
      <x:c r="F226" s="12" t="n">
        <x:v>0</x:v>
      </x:c>
      <x:c r="G226" t="str">
        <x:v>Partner</x:v>
      </x:c>
    </x:row>
    <x:row r="227" ht="15" hidden="0" customHeight="1">
      <x:c r="A227" t="str">
        <x:v>O0226</x:v>
      </x:c>
      <x:c r="B227" s="10" t="n">
        <x:v>45914</x:v>
      </x:c>
      <x:c r="C227" t="str">
        <x:v>C035</x:v>
      </x:c>
      <x:c r="D227" t="str">
        <x:v>P003</x:v>
      </x:c>
      <x:c r="E227" t="n">
        <x:v>3</x:v>
      </x:c>
      <x:c r="F227" s="12" t="n">
        <x:v>0.05</x:v>
      </x:c>
      <x:c r="G227" t="str">
        <x:v>Retail</x:v>
      </x:c>
    </x:row>
    <x:row r="228" ht="15" hidden="0" customHeight="1">
      <x:c r="A228" t="str">
        <x:v>O0227</x:v>
      </x:c>
      <x:c r="B228" s="10" t="n">
        <x:v>45831</x:v>
      </x:c>
      <x:c r="C228" t="str">
        <x:v>C015</x:v>
      </x:c>
      <x:c r="D228" t="str">
        <x:v>P008</x:v>
      </x:c>
      <x:c r="E228" t="n">
        <x:v>1</x:v>
      </x:c>
      <x:c r="F228" s="12" t="n">
        <x:v>0</x:v>
      </x:c>
      <x:c r="G228" t="str">
        <x:v>Online</x:v>
      </x:c>
    </x:row>
    <x:row r="229" ht="15" hidden="0" customHeight="1">
      <x:c r="A229" t="str">
        <x:v>O0228</x:v>
      </x:c>
      <x:c r="B229" s="10" t="n">
        <x:v>46004</x:v>
      </x:c>
      <x:c r="C229" t="str">
        <x:v>C051</x:v>
      </x:c>
      <x:c r="D229" t="str">
        <x:v>P009</x:v>
      </x:c>
      <x:c r="E229" t="n">
        <x:v>3</x:v>
      </x:c>
      <x:c r="F229" s="12" t="n">
        <x:v>0</x:v>
      </x:c>
      <x:c r="G229" t="str">
        <x:v>Retail</x:v>
      </x:c>
    </x:row>
    <x:row r="230" ht="15" hidden="0" customHeight="1">
      <x:c r="A230" t="str">
        <x:v>O0229</x:v>
      </x:c>
      <x:c r="B230" s="10" t="n">
        <x:v>45665</x:v>
      </x:c>
      <x:c r="C230" t="str">
        <x:v>C034</x:v>
      </x:c>
      <x:c r="D230" t="str">
        <x:v>P009</x:v>
      </x:c>
      <x:c r="E230" t="n">
        <x:v>1</x:v>
      </x:c>
      <x:c r="F230" s="12" t="n">
        <x:v>0.05</x:v>
      </x:c>
      <x:c r="G230" t="str">
        <x:v>Retail</x:v>
      </x:c>
    </x:row>
    <x:row r="231" ht="15" hidden="0" customHeight="1">
      <x:c r="A231" t="str">
        <x:v>O0230</x:v>
      </x:c>
      <x:c r="B231" s="10" t="n">
        <x:v>46002</x:v>
      </x:c>
      <x:c r="C231" t="str">
        <x:v>C034</x:v>
      </x:c>
      <x:c r="D231" t="str">
        <x:v>P010</x:v>
      </x:c>
      <x:c r="E231" t="n">
        <x:v>4</x:v>
      </x:c>
      <x:c r="F231" s="12" t="n">
        <x:v>0.15</x:v>
      </x:c>
      <x:c r="G231" t="str">
        <x:v>Retail</x:v>
      </x:c>
    </x:row>
    <x:row r="232" ht="15" hidden="0" customHeight="1">
      <x:c r="A232" t="str">
        <x:v>O0231</x:v>
      </x:c>
      <x:c r="B232" s="10" t="n">
        <x:v>45713</x:v>
      </x:c>
      <x:c r="C232" t="str">
        <x:v>C030</x:v>
      </x:c>
      <x:c r="D232" t="str">
        <x:v>P008</x:v>
      </x:c>
      <x:c r="E232" t="n">
        <x:v>1</x:v>
      </x:c>
      <x:c r="F232" s="12" t="n">
        <x:v>0.1</x:v>
      </x:c>
      <x:c r="G232" t="str">
        <x:v>Partner</x:v>
      </x:c>
    </x:row>
    <x:row r="233" ht="15" hidden="0" customHeight="1">
      <x:c r="A233" t="str">
        <x:v>O0232</x:v>
      </x:c>
      <x:c r="B233" s="10" t="n">
        <x:v>45825</x:v>
      </x:c>
      <x:c r="C233" t="str">
        <x:v>C079</x:v>
      </x:c>
      <x:c r="D233" t="str">
        <x:v>P004</x:v>
      </x:c>
      <x:c r="E233" t="n">
        <x:v>6</x:v>
      </x:c>
      <x:c r="F233" s="12" t="n">
        <x:v>0</x:v>
      </x:c>
      <x:c r="G233" t="str">
        <x:v>Partner</x:v>
      </x:c>
    </x:row>
    <x:row r="234" ht="15" hidden="0" customHeight="1">
      <x:c r="A234" t="str">
        <x:v>O0233</x:v>
      </x:c>
      <x:c r="B234" s="10" t="n">
        <x:v>45895</x:v>
      </x:c>
      <x:c r="C234" t="str">
        <x:v>C039</x:v>
      </x:c>
      <x:c r="D234" t="str">
        <x:v>P011</x:v>
      </x:c>
      <x:c r="E234" t="n">
        <x:v>4</x:v>
      </x:c>
      <x:c r="F234" s="12" t="n">
        <x:v>0</x:v>
      </x:c>
      <x:c r="G234" t="str">
        <x:v>Online</x:v>
      </x:c>
    </x:row>
    <x:row r="235" ht="15" hidden="0" customHeight="1">
      <x:c r="A235" t="str">
        <x:v>O0234</x:v>
      </x:c>
      <x:c r="B235" s="10" t="n">
        <x:v>45681</x:v>
      </x:c>
      <x:c r="C235" t="str">
        <x:v>C005</x:v>
      </x:c>
      <x:c r="D235" t="str">
        <x:v>P005</x:v>
      </x:c>
      <x:c r="E235" t="n">
        <x:v>4</x:v>
      </x:c>
      <x:c r="F235" s="12" t="n">
        <x:v>0</x:v>
      </x:c>
      <x:c r="G235" t="str">
        <x:v>Online</x:v>
      </x:c>
    </x:row>
    <x:row r="236" ht="15" hidden="0" customHeight="1">
      <x:c r="A236" t="str">
        <x:v>O0235</x:v>
      </x:c>
      <x:c r="B236" s="10" t="n">
        <x:v>45778</x:v>
      </x:c>
      <x:c r="C236" t="str">
        <x:v>C069</x:v>
      </x:c>
      <x:c r="D236" t="str">
        <x:v>P003</x:v>
      </x:c>
      <x:c r="E236" t="n">
        <x:v>4</x:v>
      </x:c>
      <x:c r="F236" s="12" t="n">
        <x:v>0.05</x:v>
      </x:c>
      <x:c r="G236" t="str">
        <x:v>Retail</x:v>
      </x:c>
    </x:row>
    <x:row r="237" ht="15" hidden="0" customHeight="1">
      <x:c r="A237" t="str">
        <x:v>O0236</x:v>
      </x:c>
      <x:c r="B237" s="10" t="n">
        <x:v>46001</x:v>
      </x:c>
      <x:c r="C237" t="str">
        <x:v>C070</x:v>
      </x:c>
      <x:c r="D237" t="str">
        <x:v>P007</x:v>
      </x:c>
      <x:c r="E237" t="n">
        <x:v>5</x:v>
      </x:c>
      <x:c r="F237" s="12" t="n">
        <x:v>0.15</x:v>
      </x:c>
      <x:c r="G237" t="str">
        <x:v>Partner</x:v>
      </x:c>
    </x:row>
    <x:row r="238" ht="15" hidden="0" customHeight="1">
      <x:c r="A238" t="str">
        <x:v>O0237</x:v>
      </x:c>
      <x:c r="B238" s="10" t="n">
        <x:v>45737</x:v>
      </x:c>
      <x:c r="C238" t="str">
        <x:v>C054</x:v>
      </x:c>
      <x:c r="D238" t="str">
        <x:v>P011</x:v>
      </x:c>
      <x:c r="E238" t="n">
        <x:v>1</x:v>
      </x:c>
      <x:c r="F238" s="12" t="n">
        <x:v>0.05</x:v>
      </x:c>
      <x:c r="G238" t="str">
        <x:v>Partner</x:v>
      </x:c>
    </x:row>
    <x:row r="239" ht="15" hidden="0" customHeight="1">
      <x:c r="A239" t="str">
        <x:v>O0238</x:v>
      </x:c>
      <x:c r="B239" s="10" t="n">
        <x:v>45866</x:v>
      </x:c>
      <x:c r="C239" t="str">
        <x:v>C036</x:v>
      </x:c>
      <x:c r="D239" t="str">
        <x:v>P001</x:v>
      </x:c>
      <x:c r="E239" t="n">
        <x:v>6</x:v>
      </x:c>
      <x:c r="F239" s="12" t="n">
        <x:v>0</x:v>
      </x:c>
      <x:c r="G239" t="str">
        <x:v>Online</x:v>
      </x:c>
    </x:row>
    <x:row r="240" ht="15" hidden="0" customHeight="1">
      <x:c r="A240" t="str">
        <x:v>O0239</x:v>
      </x:c>
      <x:c r="B240" s="10" t="n">
        <x:v>45885</x:v>
      </x:c>
      <x:c r="C240" t="str">
        <x:v>C057</x:v>
      </x:c>
      <x:c r="D240" t="str">
        <x:v>P004</x:v>
      </x:c>
      <x:c r="E240" t="n">
        <x:v>3</x:v>
      </x:c>
      <x:c r="F240" s="12" t="n">
        <x:v>0</x:v>
      </x:c>
      <x:c r="G240" t="str">
        <x:v>Partner</x:v>
      </x:c>
    </x:row>
    <x:row r="241" ht="15" hidden="0" customHeight="1">
      <x:c r="A241" t="str">
        <x:v>O0240</x:v>
      </x:c>
      <x:c r="B241" s="10" t="n">
        <x:v>45846</x:v>
      </x:c>
      <x:c r="C241" t="str">
        <x:v>C070</x:v>
      </x:c>
      <x:c r="D241" t="str">
        <x:v>P011</x:v>
      </x:c>
      <x:c r="E241" t="n">
        <x:v>3</x:v>
      </x:c>
      <x:c r="F241" s="12" t="n">
        <x:v>0</x:v>
      </x:c>
      <x:c r="G241" t="str">
        <x:v>Retail</x:v>
      </x:c>
    </x:row>
    <x:row r="242" ht="15" hidden="0" customHeight="1">
      <x:c r="A242" t="str">
        <x:v>O0241</x:v>
      </x:c>
      <x:c r="B242" s="10" t="n">
        <x:v>45799</x:v>
      </x:c>
      <x:c r="C242" t="str">
        <x:v>C025</x:v>
      </x:c>
      <x:c r="D242" t="str">
        <x:v>P002</x:v>
      </x:c>
      <x:c r="E242" t="n">
        <x:v>4</x:v>
      </x:c>
      <x:c r="F242" s="12" t="n">
        <x:v>0</x:v>
      </x:c>
      <x:c r="G242" t="str">
        <x:v>Partner</x:v>
      </x:c>
    </x:row>
    <x:row r="243" ht="15" hidden="0" customHeight="1">
      <x:c r="A243" t="str">
        <x:v>O0242</x:v>
      </x:c>
      <x:c r="B243" s="10" t="n">
        <x:v>45766</x:v>
      </x:c>
      <x:c r="C243" t="str">
        <x:v>C077</x:v>
      </x:c>
      <x:c r="D243" t="str">
        <x:v>P001</x:v>
      </x:c>
      <x:c r="E243" t="n">
        <x:v>1</x:v>
      </x:c>
      <x:c r="F243" s="12" t="n">
        <x:v>0</x:v>
      </x:c>
      <x:c r="G243" t="str">
        <x:v>Online</x:v>
      </x:c>
    </x:row>
    <x:row r="244" ht="15" hidden="0" customHeight="1">
      <x:c r="A244" t="str">
        <x:v>O0243</x:v>
      </x:c>
      <x:c r="B244" s="10" t="n">
        <x:v>45722</x:v>
      </x:c>
      <x:c r="C244" t="str">
        <x:v>C073</x:v>
      </x:c>
      <x:c r="D244" t="str">
        <x:v>P004</x:v>
      </x:c>
      <x:c r="E244" t="n">
        <x:v>1</x:v>
      </x:c>
      <x:c r="F244" s="12" t="n">
        <x:v>0.1</x:v>
      </x:c>
      <x:c r="G244" t="str">
        <x:v>Online</x:v>
      </x:c>
    </x:row>
    <x:row r="245" ht="15" hidden="0" customHeight="1">
      <x:c r="A245" t="str">
        <x:v>O0244</x:v>
      </x:c>
      <x:c r="B245" s="10" t="n">
        <x:v>45958</x:v>
      </x:c>
      <x:c r="C245" t="str">
        <x:v>C028</x:v>
      </x:c>
      <x:c r="D245" t="str">
        <x:v>P004</x:v>
      </x:c>
      <x:c r="E245" t="n">
        <x:v>3</x:v>
      </x:c>
      <x:c r="F245" s="12" t="n">
        <x:v>0</x:v>
      </x:c>
      <x:c r="G245" t="str">
        <x:v>Partner</x:v>
      </x:c>
    </x:row>
    <x:row r="246" ht="15" hidden="0" customHeight="1">
      <x:c r="A246" t="str">
        <x:v>O0245</x:v>
      </x:c>
      <x:c r="B246" s="10" t="n">
        <x:v>45659</x:v>
      </x:c>
      <x:c r="C246" t="str">
        <x:v>C036</x:v>
      </x:c>
      <x:c r="D246" t="str">
        <x:v>P003</x:v>
      </x:c>
      <x:c r="E246" t="n">
        <x:v>2</x:v>
      </x:c>
      <x:c r="F246" s="12" t="n">
        <x:v>0.1</x:v>
      </x:c>
      <x:c r="G246" t="str">
        <x:v>Retail</x:v>
      </x:c>
    </x:row>
    <x:row r="247" ht="15" hidden="0" customHeight="1">
      <x:c r="A247" t="str">
        <x:v>O0246</x:v>
      </x:c>
      <x:c r="B247" s="10" t="n">
        <x:v>45747</x:v>
      </x:c>
      <x:c r="C247" t="str">
        <x:v>C015</x:v>
      </x:c>
      <x:c r="D247" t="str">
        <x:v>P011</x:v>
      </x:c>
      <x:c r="E247" t="n">
        <x:v>1</x:v>
      </x:c>
      <x:c r="F247" s="12" t="n">
        <x:v>0</x:v>
      </x:c>
      <x:c r="G247" t="str">
        <x:v>Online</x:v>
      </x:c>
    </x:row>
    <x:row r="248" ht="15" hidden="0" customHeight="1">
      <x:c r="A248" t="str">
        <x:v>O0247</x:v>
      </x:c>
      <x:c r="B248" s="10" t="n">
        <x:v>45841</x:v>
      </x:c>
      <x:c r="C248" t="str">
        <x:v>C031</x:v>
      </x:c>
      <x:c r="D248" t="str">
        <x:v>P010</x:v>
      </x:c>
      <x:c r="E248" t="n">
        <x:v>3</x:v>
      </x:c>
      <x:c r="F248" s="12" t="n">
        <x:v>0</x:v>
      </x:c>
      <x:c r="G248" t="str">
        <x:v>Online</x:v>
      </x:c>
    </x:row>
    <x:row r="249" ht="15" hidden="0" customHeight="1">
      <x:c r="A249" t="str">
        <x:v>O0248</x:v>
      </x:c>
      <x:c r="B249" s="10" t="n">
        <x:v>45793</x:v>
      </x:c>
      <x:c r="C249" t="str">
        <x:v>C007</x:v>
      </x:c>
      <x:c r="D249" t="str">
        <x:v>P003</x:v>
      </x:c>
      <x:c r="E249" t="n">
        <x:v>6</x:v>
      </x:c>
      <x:c r="F249" s="12" t="n">
        <x:v>0.05</x:v>
      </x:c>
      <x:c r="G249" t="str">
        <x:v>Partner</x:v>
      </x:c>
    </x:row>
    <x:row r="250" ht="15" hidden="0" customHeight="1">
      <x:c r="A250" t="str">
        <x:v>O0249</x:v>
      </x:c>
      <x:c r="B250" s="10" t="n">
        <x:v>45716</x:v>
      </x:c>
      <x:c r="C250" t="str">
        <x:v>C009</x:v>
      </x:c>
      <x:c r="D250" t="str">
        <x:v>P008</x:v>
      </x:c>
      <x:c r="E250" t="n">
        <x:v>4</x:v>
      </x:c>
      <x:c r="F250" s="12" t="n">
        <x:v>0</x:v>
      </x:c>
      <x:c r="G250" t="str">
        <x:v>Partner</x:v>
      </x:c>
    </x:row>
    <x:row r="251" ht="15" hidden="0" customHeight="1">
      <x:c r="A251" t="str">
        <x:v>O0250</x:v>
      </x:c>
      <x:c r="B251" s="10" t="n">
        <x:v>45961</x:v>
      </x:c>
      <x:c r="C251" t="str">
        <x:v>C014</x:v>
      </x:c>
      <x:c r="D251" t="str">
        <x:v>P008</x:v>
      </x:c>
      <x:c r="E251" t="n">
        <x:v>5</x:v>
      </x:c>
      <x:c r="F251" s="12" t="n">
        <x:v>0</x:v>
      </x:c>
      <x:c r="G251" t="str">
        <x:v>Partner</x:v>
      </x:c>
    </x:row>
    <x:row r="252" ht="15" hidden="0" customHeight="1">
      <x:c r="A252" t="str">
        <x:v>O0251</x:v>
      </x:c>
      <x:c r="B252" s="10" t="n">
        <x:v>45680</x:v>
      </x:c>
      <x:c r="C252" t="str">
        <x:v>C067</x:v>
      </x:c>
      <x:c r="D252" t="str">
        <x:v>P005</x:v>
      </x:c>
      <x:c r="E252" t="n">
        <x:v>4</x:v>
      </x:c>
      <x:c r="F252" s="12" t="n">
        <x:v>0.15</x:v>
      </x:c>
      <x:c r="G252" t="str">
        <x:v>Online</x:v>
      </x:c>
    </x:row>
    <x:row r="253" ht="15" hidden="0" customHeight="1">
      <x:c r="A253" t="str">
        <x:v>O0252</x:v>
      </x:c>
      <x:c r="B253" s="10" t="n">
        <x:v>45689</x:v>
      </x:c>
      <x:c r="C253" t="str">
        <x:v>C062</x:v>
      </x:c>
      <x:c r="D253" t="str">
        <x:v>P007</x:v>
      </x:c>
      <x:c r="E253" t="n">
        <x:v>4</x:v>
      </x:c>
      <x:c r="F253" s="12" t="n">
        <x:v>0.15</x:v>
      </x:c>
      <x:c r="G253" t="str">
        <x:v>Online</x:v>
      </x:c>
    </x:row>
    <x:row r="254" ht="15" hidden="0" customHeight="1">
      <x:c r="A254" t="str">
        <x:v>O0253</x:v>
      </x:c>
      <x:c r="B254" s="10" t="n">
        <x:v>45909</x:v>
      </x:c>
      <x:c r="C254" t="str">
        <x:v>C057</x:v>
      </x:c>
      <x:c r="D254" t="str">
        <x:v>P002</x:v>
      </x:c>
      <x:c r="E254" t="n">
        <x:v>1</x:v>
      </x:c>
      <x:c r="F254" s="12" t="n">
        <x:v>0</x:v>
      </x:c>
      <x:c r="G254" t="str">
        <x:v>Partner</x:v>
      </x:c>
    </x:row>
    <x:row r="255" ht="15" hidden="0" customHeight="1">
      <x:c r="A255" t="str">
        <x:v>O0254</x:v>
      </x:c>
      <x:c r="B255" s="10" t="n">
        <x:v>45733</x:v>
      </x:c>
      <x:c r="C255" t="str">
        <x:v>C009</x:v>
      </x:c>
      <x:c r="D255" t="str">
        <x:v>P003</x:v>
      </x:c>
      <x:c r="E255" t="n">
        <x:v>3</x:v>
      </x:c>
      <x:c r="F255" s="12" t="n">
        <x:v>0.1</x:v>
      </x:c>
      <x:c r="G255" t="str">
        <x:v>Partner</x:v>
      </x:c>
    </x:row>
    <x:row r="256" ht="15" hidden="0" customHeight="1">
      <x:c r="A256" t="str">
        <x:v>O0255</x:v>
      </x:c>
      <x:c r="B256" s="10" t="n">
        <x:v>45957</x:v>
      </x:c>
      <x:c r="C256" t="str">
        <x:v>C071</x:v>
      </x:c>
      <x:c r="D256" t="str">
        <x:v>P012</x:v>
      </x:c>
      <x:c r="E256" t="n">
        <x:v>3</x:v>
      </x:c>
      <x:c r="F256" s="12" t="n">
        <x:v>0.05</x:v>
      </x:c>
      <x:c r="G256" t="str">
        <x:v>Partner</x:v>
      </x:c>
    </x:row>
    <x:row r="257" ht="15" hidden="0" customHeight="1">
      <x:c r="A257" t="str">
        <x:v>O0256</x:v>
      </x:c>
      <x:c r="B257" s="10" t="n">
        <x:v>45929</x:v>
      </x:c>
      <x:c r="C257" t="str">
        <x:v>C038</x:v>
      </x:c>
      <x:c r="D257" t="str">
        <x:v>P008</x:v>
      </x:c>
      <x:c r="E257" t="n">
        <x:v>5</x:v>
      </x:c>
      <x:c r="F257" s="12" t="n">
        <x:v>0.1</x:v>
      </x:c>
      <x:c r="G257" t="str">
        <x:v>Retail</x:v>
      </x:c>
    </x:row>
    <x:row r="258" ht="15" hidden="0" customHeight="1">
      <x:c r="A258" t="str">
        <x:v>O0257</x:v>
      </x:c>
      <x:c r="B258" s="10" t="n">
        <x:v>45708</x:v>
      </x:c>
      <x:c r="C258" t="str">
        <x:v>C015</x:v>
      </x:c>
      <x:c r="D258" t="str">
        <x:v>P011</x:v>
      </x:c>
      <x:c r="E258" t="n">
        <x:v>6</x:v>
      </x:c>
      <x:c r="F258" s="12" t="n">
        <x:v>0.1</x:v>
      </x:c>
      <x:c r="G258" t="str">
        <x:v>Partner</x:v>
      </x:c>
    </x:row>
    <x:row r="259" ht="15" hidden="0" customHeight="1">
      <x:c r="A259" t="str">
        <x:v>O0258</x:v>
      </x:c>
      <x:c r="B259" s="10" t="n">
        <x:v>45768</x:v>
      </x:c>
      <x:c r="C259" t="str">
        <x:v>C056</x:v>
      </x:c>
      <x:c r="D259" t="str">
        <x:v>P008</x:v>
      </x:c>
      <x:c r="E259" t="n">
        <x:v>2</x:v>
      </x:c>
      <x:c r="F259" s="12" t="n">
        <x:v>0.05</x:v>
      </x:c>
      <x:c r="G259" t="str">
        <x:v>Retail</x:v>
      </x:c>
    </x:row>
    <x:row r="260" ht="15" hidden="0" customHeight="1">
      <x:c r="A260" t="str">
        <x:v>O0259</x:v>
      </x:c>
      <x:c r="B260" s="10" t="n">
        <x:v>45890</x:v>
      </x:c>
      <x:c r="C260" t="str">
        <x:v>C052</x:v>
      </x:c>
      <x:c r="D260" t="str">
        <x:v>P007</x:v>
      </x:c>
      <x:c r="E260" t="n">
        <x:v>6</x:v>
      </x:c>
      <x:c r="F260" s="12" t="n">
        <x:v>0</x:v>
      </x:c>
      <x:c r="G260" t="str">
        <x:v>Retail</x:v>
      </x:c>
    </x:row>
    <x:row r="261" ht="15" hidden="0" customHeight="1">
      <x:c r="A261" t="str">
        <x:v>O0260</x:v>
      </x:c>
      <x:c r="B261" s="10" t="n">
        <x:v>45876</x:v>
      </x:c>
      <x:c r="C261" t="str">
        <x:v>C041</x:v>
      </x:c>
      <x:c r="D261" t="str">
        <x:v>P011</x:v>
      </x:c>
      <x:c r="E261" t="n">
        <x:v>3</x:v>
      </x:c>
      <x:c r="F261" s="12" t="n">
        <x:v>0</x:v>
      </x:c>
      <x:c r="G261" t="str">
        <x:v>Online</x:v>
      </x:c>
    </x:row>
    <x:row r="262" ht="15" hidden="0" customHeight="1">
      <x:c r="A262" t="str">
        <x:v>O0261</x:v>
      </x:c>
      <x:c r="B262" s="10" t="n">
        <x:v>46009</x:v>
      </x:c>
      <x:c r="C262" t="str">
        <x:v>C061</x:v>
      </x:c>
      <x:c r="D262" t="str">
        <x:v>P002</x:v>
      </x:c>
      <x:c r="E262" t="n">
        <x:v>1</x:v>
      </x:c>
      <x:c r="F262" s="12" t="n">
        <x:v>0</x:v>
      </x:c>
      <x:c r="G262" t="str">
        <x:v>Online</x:v>
      </x:c>
    </x:row>
    <x:row r="263" ht="15" hidden="0" customHeight="1">
      <x:c r="A263" t="str">
        <x:v>O0262</x:v>
      </x:c>
      <x:c r="B263" s="10" t="n">
        <x:v>45879</x:v>
      </x:c>
      <x:c r="C263" t="str">
        <x:v>C013</x:v>
      </x:c>
      <x:c r="D263" t="str">
        <x:v>P012</x:v>
      </x:c>
      <x:c r="E263" t="n">
        <x:v>6</x:v>
      </x:c>
      <x:c r="F263" s="12" t="n">
        <x:v>0</x:v>
      </x:c>
      <x:c r="G263" t="str">
        <x:v>Online</x:v>
      </x:c>
    </x:row>
    <x:row r="264" ht="15" hidden="0" customHeight="1">
      <x:c r="A264" t="str">
        <x:v>O0263</x:v>
      </x:c>
      <x:c r="B264" s="10" t="n">
        <x:v>45942</x:v>
      </x:c>
      <x:c r="C264" t="str">
        <x:v>C008</x:v>
      </x:c>
      <x:c r="D264" t="str">
        <x:v>P010</x:v>
      </x:c>
      <x:c r="E264" t="n">
        <x:v>5</x:v>
      </x:c>
      <x:c r="F264" s="12" t="n">
        <x:v>0.1</x:v>
      </x:c>
      <x:c r="G264" t="str">
        <x:v>Retail</x:v>
      </x:c>
    </x:row>
    <x:row r="265" ht="15" hidden="0" customHeight="1">
      <x:c r="A265" t="str">
        <x:v>O0264</x:v>
      </x:c>
      <x:c r="B265" s="10" t="n">
        <x:v>46001</x:v>
      </x:c>
      <x:c r="C265" t="str">
        <x:v>C016</x:v>
      </x:c>
      <x:c r="D265" t="str">
        <x:v>P007</x:v>
      </x:c>
      <x:c r="E265" t="n">
        <x:v>3</x:v>
      </x:c>
      <x:c r="F265" s="12" t="n">
        <x:v>0.15</x:v>
      </x:c>
      <x:c r="G265" t="str">
        <x:v>Retail</x:v>
      </x:c>
    </x:row>
    <x:row r="266" ht="15" hidden="0" customHeight="1">
      <x:c r="A266" t="str">
        <x:v>O0265</x:v>
      </x:c>
      <x:c r="B266" s="10" t="n">
        <x:v>45684</x:v>
      </x:c>
      <x:c r="C266" t="str">
        <x:v>C037</x:v>
      </x:c>
      <x:c r="D266" t="str">
        <x:v>P010</x:v>
      </x:c>
      <x:c r="E266" t="n">
        <x:v>3</x:v>
      </x:c>
      <x:c r="F266" s="12" t="n">
        <x:v>0</x:v>
      </x:c>
      <x:c r="G266" t="str">
        <x:v>Online</x:v>
      </x:c>
    </x:row>
    <x:row r="267" ht="15" hidden="0" customHeight="1">
      <x:c r="A267" t="str">
        <x:v>O0266</x:v>
      </x:c>
      <x:c r="B267" s="10" t="n">
        <x:v>45953</x:v>
      </x:c>
      <x:c r="C267" t="str">
        <x:v>C065</x:v>
      </x:c>
      <x:c r="D267" t="str">
        <x:v>P004</x:v>
      </x:c>
      <x:c r="E267" t="n">
        <x:v>2</x:v>
      </x:c>
      <x:c r="F267" s="12" t="n">
        <x:v>0.15</x:v>
      </x:c>
      <x:c r="G267" t="str">
        <x:v>Retail</x:v>
      </x:c>
    </x:row>
    <x:row r="268" ht="15" hidden="0" customHeight="1">
      <x:c r="A268" t="str">
        <x:v>O0267</x:v>
      </x:c>
      <x:c r="B268" s="10" t="n">
        <x:v>45772</x:v>
      </x:c>
      <x:c r="C268" t="str">
        <x:v>C014</x:v>
      </x:c>
      <x:c r="D268" t="str">
        <x:v>P006</x:v>
      </x:c>
      <x:c r="E268" t="n">
        <x:v>5</x:v>
      </x:c>
      <x:c r="F268" s="12" t="n">
        <x:v>0</x:v>
      </x:c>
      <x:c r="G268" t="str">
        <x:v>Online</x:v>
      </x:c>
    </x:row>
    <x:row r="269" ht="15" hidden="0" customHeight="1">
      <x:c r="A269" t="str">
        <x:v>O0268</x:v>
      </x:c>
      <x:c r="B269" s="10" t="n">
        <x:v>45800</x:v>
      </x:c>
      <x:c r="C269" t="str">
        <x:v>C074</x:v>
      </x:c>
      <x:c r="D269" t="str">
        <x:v>P004</x:v>
      </x:c>
      <x:c r="E269" t="n">
        <x:v>4</x:v>
      </x:c>
      <x:c r="F269" s="12" t="n">
        <x:v>0.1</x:v>
      </x:c>
      <x:c r="G269" t="str">
        <x:v>Partner</x:v>
      </x:c>
    </x:row>
    <x:row r="270" ht="15" hidden="0" customHeight="1">
      <x:c r="A270" t="str">
        <x:v>O0269</x:v>
      </x:c>
      <x:c r="B270" s="10" t="n">
        <x:v>45972</x:v>
      </x:c>
      <x:c r="C270" t="str">
        <x:v>C072</x:v>
      </x:c>
      <x:c r="D270" t="str">
        <x:v>P001</x:v>
      </x:c>
      <x:c r="E270" t="n">
        <x:v>5</x:v>
      </x:c>
      <x:c r="F270" s="12" t="n">
        <x:v>0.15</x:v>
      </x:c>
      <x:c r="G270" t="str">
        <x:v>Partner</x:v>
      </x:c>
    </x:row>
    <x:row r="271" ht="15" hidden="0" customHeight="1">
      <x:c r="A271" t="str">
        <x:v>O0270</x:v>
      </x:c>
      <x:c r="B271" s="10" t="n">
        <x:v>45794</x:v>
      </x:c>
      <x:c r="C271" t="str">
        <x:v>C004</x:v>
      </x:c>
      <x:c r="D271" t="str">
        <x:v>P003</x:v>
      </x:c>
      <x:c r="E271" t="n">
        <x:v>3</x:v>
      </x:c>
      <x:c r="F271" s="12" t="n">
        <x:v>0.15</x:v>
      </x:c>
      <x:c r="G271" t="str">
        <x:v>Retail</x:v>
      </x:c>
    </x:row>
    <x:row r="272" ht="15" hidden="0" customHeight="1">
      <x:c r="A272" t="str">
        <x:v>O0271</x:v>
      </x:c>
      <x:c r="B272" s="10" t="n">
        <x:v>45831</x:v>
      </x:c>
      <x:c r="C272" t="str">
        <x:v>C045</x:v>
      </x:c>
      <x:c r="D272" t="str">
        <x:v>P001</x:v>
      </x:c>
      <x:c r="E272" t="n">
        <x:v>2</x:v>
      </x:c>
      <x:c r="F272" s="12" t="n">
        <x:v>0</x:v>
      </x:c>
      <x:c r="G272" t="str">
        <x:v>Partner</x:v>
      </x:c>
    </x:row>
    <x:row r="273" ht="15" hidden="0" customHeight="1">
      <x:c r="A273" t="str">
        <x:v>O0272</x:v>
      </x:c>
      <x:c r="B273" s="10" t="n">
        <x:v>45994</x:v>
      </x:c>
      <x:c r="C273" t="str">
        <x:v>C052</x:v>
      </x:c>
      <x:c r="D273" t="str">
        <x:v>P002</x:v>
      </x:c>
      <x:c r="E273" t="n">
        <x:v>2</x:v>
      </x:c>
      <x:c r="F273" s="12" t="n">
        <x:v>0.15</x:v>
      </x:c>
      <x:c r="G273" t="str">
        <x:v>Partner</x:v>
      </x:c>
    </x:row>
    <x:row r="274" ht="15" hidden="0" customHeight="1">
      <x:c r="A274" t="str">
        <x:v>O0273</x:v>
      </x:c>
      <x:c r="B274" s="10" t="n">
        <x:v>45673</x:v>
      </x:c>
      <x:c r="C274" t="str">
        <x:v>C012</x:v>
      </x:c>
      <x:c r="D274" t="str">
        <x:v>P012</x:v>
      </x:c>
      <x:c r="E274" t="n">
        <x:v>5</x:v>
      </x:c>
      <x:c r="F274" s="12" t="n">
        <x:v>0</x:v>
      </x:c>
      <x:c r="G274" t="str">
        <x:v>Retail</x:v>
      </x:c>
    </x:row>
    <x:row r="275" ht="15" hidden="0" customHeight="1">
      <x:c r="A275" t="str">
        <x:v>O0274</x:v>
      </x:c>
      <x:c r="B275" s="10" t="n">
        <x:v>45872</x:v>
      </x:c>
      <x:c r="C275" t="str">
        <x:v>C059</x:v>
      </x:c>
      <x:c r="D275" t="str">
        <x:v>P006</x:v>
      </x:c>
      <x:c r="E275" t="n">
        <x:v>2</x:v>
      </x:c>
      <x:c r="F275" s="12" t="n">
        <x:v>0</x:v>
      </x:c>
      <x:c r="G275" t="str">
        <x:v>Retail</x:v>
      </x:c>
    </x:row>
    <x:row r="276" ht="15" hidden="0" customHeight="1">
      <x:c r="A276" t="str">
        <x:v>O0275</x:v>
      </x:c>
      <x:c r="B276" s="10" t="n">
        <x:v>45824</x:v>
      </x:c>
      <x:c r="C276" t="str">
        <x:v>C073</x:v>
      </x:c>
      <x:c r="D276" t="str">
        <x:v>P010</x:v>
      </x:c>
      <x:c r="E276" t="n">
        <x:v>1</x:v>
      </x:c>
      <x:c r="F276" s="12" t="n">
        <x:v>0</x:v>
      </x:c>
      <x:c r="G276" t="str">
        <x:v>Online</x:v>
      </x:c>
    </x:row>
    <x:row r="277" ht="15" hidden="0" customHeight="1">
      <x:c r="A277" t="str">
        <x:v>O0276</x:v>
      </x:c>
      <x:c r="B277" s="10" t="n">
        <x:v>45738</x:v>
      </x:c>
      <x:c r="C277" t="str">
        <x:v>C080</x:v>
      </x:c>
      <x:c r="D277" t="str">
        <x:v>P001</x:v>
      </x:c>
      <x:c r="E277" t="n">
        <x:v>6</x:v>
      </x:c>
      <x:c r="F277" s="12" t="n">
        <x:v>0</x:v>
      </x:c>
      <x:c r="G277" t="str">
        <x:v>Retail</x:v>
      </x:c>
    </x:row>
    <x:row r="278" ht="15" hidden="0" customHeight="1">
      <x:c r="A278" t="str">
        <x:v>O0277</x:v>
      </x:c>
      <x:c r="B278" s="10" t="n">
        <x:v>45884</x:v>
      </x:c>
      <x:c r="C278" t="str">
        <x:v>C055</x:v>
      </x:c>
      <x:c r="D278" t="str">
        <x:v>P008</x:v>
      </x:c>
      <x:c r="E278" t="n">
        <x:v>5</x:v>
      </x:c>
      <x:c r="F278" s="12" t="n">
        <x:v>0.05</x:v>
      </x:c>
      <x:c r="G278" t="str">
        <x:v>Retail</x:v>
      </x:c>
    </x:row>
    <x:row r="279" ht="15" hidden="0" customHeight="1">
      <x:c r="A279" t="str">
        <x:v>O0278</x:v>
      </x:c>
      <x:c r="B279" s="10" t="n">
        <x:v>45797</x:v>
      </x:c>
      <x:c r="C279" t="str">
        <x:v>C028</x:v>
      </x:c>
      <x:c r="D279" t="str">
        <x:v>P009</x:v>
      </x:c>
      <x:c r="E279" t="n">
        <x:v>1</x:v>
      </x:c>
      <x:c r="F279" s="12" t="n">
        <x:v>0</x:v>
      </x:c>
      <x:c r="G279" t="str">
        <x:v>Retail</x:v>
      </x:c>
    </x:row>
    <x:row r="280" ht="15" hidden="0" customHeight="1">
      <x:c r="A280" t="str">
        <x:v>O0279</x:v>
      </x:c>
      <x:c r="B280" s="10" t="n">
        <x:v>45714</x:v>
      </x:c>
      <x:c r="C280" t="str">
        <x:v>C037</x:v>
      </x:c>
      <x:c r="D280" t="str">
        <x:v>P011</x:v>
      </x:c>
      <x:c r="E280" t="n">
        <x:v>6</x:v>
      </x:c>
      <x:c r="F280" s="12" t="n">
        <x:v>0.1</x:v>
      </x:c>
      <x:c r="G280" t="str">
        <x:v>Retail</x:v>
      </x:c>
    </x:row>
    <x:row r="281" ht="15" hidden="0" customHeight="1">
      <x:c r="A281" t="str">
        <x:v>O0280</x:v>
      </x:c>
      <x:c r="B281" s="10" t="n">
        <x:v>45927</x:v>
      </x:c>
      <x:c r="C281" t="str">
        <x:v>C040</x:v>
      </x:c>
      <x:c r="D281" t="str">
        <x:v>P001</x:v>
      </x:c>
      <x:c r="E281" t="n">
        <x:v>2</x:v>
      </x:c>
      <x:c r="F281" s="12" t="n">
        <x:v>0.05</x:v>
      </x:c>
      <x:c r="G281" t="str">
        <x:v>Partner</x:v>
      </x:c>
    </x:row>
    <x:row r="282" ht="15" hidden="0" customHeight="1">
      <x:c r="A282" t="str">
        <x:v>O0281</x:v>
      </x:c>
      <x:c r="B282" s="10" t="n">
        <x:v>45686</x:v>
      </x:c>
      <x:c r="C282" t="str">
        <x:v>C001</x:v>
      </x:c>
      <x:c r="D282" t="str">
        <x:v>P004</x:v>
      </x:c>
      <x:c r="E282" t="n">
        <x:v>3</x:v>
      </x:c>
      <x:c r="F282" s="12" t="n">
        <x:v>0</x:v>
      </x:c>
      <x:c r="G282" t="str">
        <x:v>Online</x:v>
      </x:c>
    </x:row>
    <x:row r="283" ht="15" hidden="0" customHeight="1">
      <x:c r="A283" t="str">
        <x:v>O0282</x:v>
      </x:c>
      <x:c r="B283" s="10" t="n">
        <x:v>45788</x:v>
      </x:c>
      <x:c r="C283" t="str">
        <x:v>C038</x:v>
      </x:c>
      <x:c r="D283" t="str">
        <x:v>P006</x:v>
      </x:c>
      <x:c r="E283" t="n">
        <x:v>1</x:v>
      </x:c>
      <x:c r="F283" s="12" t="n">
        <x:v>0</x:v>
      </x:c>
      <x:c r="G283" t="str">
        <x:v>Retail</x:v>
      </x:c>
    </x:row>
    <x:row r="284" ht="15" hidden="0" customHeight="1">
      <x:c r="A284" t="str">
        <x:v>O0283</x:v>
      </x:c>
      <x:c r="B284" s="10" t="n">
        <x:v>45878</x:v>
      </x:c>
      <x:c r="C284" t="str">
        <x:v>C023</x:v>
      </x:c>
      <x:c r="D284" t="str">
        <x:v>P003</x:v>
      </x:c>
      <x:c r="E284" t="n">
        <x:v>4</x:v>
      </x:c>
      <x:c r="F284" s="12" t="n">
        <x:v>0.1</x:v>
      </x:c>
      <x:c r="G284" t="str">
        <x:v>Partner</x:v>
      </x:c>
    </x:row>
    <x:row r="285" ht="15" hidden="0" customHeight="1">
      <x:c r="A285" t="str">
        <x:v>O0284</x:v>
      </x:c>
      <x:c r="B285" s="10" t="n">
        <x:v>45775</x:v>
      </x:c>
      <x:c r="C285" t="str">
        <x:v>C065</x:v>
      </x:c>
      <x:c r="D285" t="str">
        <x:v>P009</x:v>
      </x:c>
      <x:c r="E285" t="n">
        <x:v>6</x:v>
      </x:c>
      <x:c r="F285" s="12" t="n">
        <x:v>0</x:v>
      </x:c>
      <x:c r="G285" t="str">
        <x:v>Online</x:v>
      </x:c>
    </x:row>
    <x:row r="286" ht="15" hidden="0" customHeight="1">
      <x:c r="A286" t="str">
        <x:v>O0285</x:v>
      </x:c>
      <x:c r="B286" s="10" t="n">
        <x:v>45861</x:v>
      </x:c>
      <x:c r="C286" t="str">
        <x:v>C006</x:v>
      </x:c>
      <x:c r="D286" t="str">
        <x:v>P007</x:v>
      </x:c>
      <x:c r="E286" t="n">
        <x:v>1</x:v>
      </x:c>
      <x:c r="F286" s="12" t="n">
        <x:v>0.05</x:v>
      </x:c>
      <x:c r="G286" t="str">
        <x:v>Online</x:v>
      </x:c>
    </x:row>
    <x:row r="287" ht="15" hidden="0" customHeight="1">
      <x:c r="A287" t="str">
        <x:v>O0286</x:v>
      </x:c>
      <x:c r="B287" s="10" t="n">
        <x:v>45818</x:v>
      </x:c>
      <x:c r="C287" t="str">
        <x:v>C074</x:v>
      </x:c>
      <x:c r="D287" t="str">
        <x:v>P007</x:v>
      </x:c>
      <x:c r="E287" t="n">
        <x:v>5</x:v>
      </x:c>
      <x:c r="F287" s="12" t="n">
        <x:v>0.05</x:v>
      </x:c>
      <x:c r="G287" t="str">
        <x:v>Partner</x:v>
      </x:c>
    </x:row>
    <x:row r="288" ht="15" hidden="0" customHeight="1">
      <x:c r="A288" t="str">
        <x:v>O0287</x:v>
      </x:c>
      <x:c r="B288" s="10" t="n">
        <x:v>45985</x:v>
      </x:c>
      <x:c r="C288" t="str">
        <x:v>C054</x:v>
      </x:c>
      <x:c r="D288" t="str">
        <x:v>P005</x:v>
      </x:c>
      <x:c r="E288" t="n">
        <x:v>1</x:v>
      </x:c>
      <x:c r="F288" s="12" t="n">
        <x:v>0.05</x:v>
      </x:c>
      <x:c r="G288" t="str">
        <x:v>Online</x:v>
      </x:c>
    </x:row>
    <x:row r="289" ht="15" hidden="0" customHeight="1">
      <x:c r="A289" t="str">
        <x:v>O0288</x:v>
      </x:c>
      <x:c r="B289" s="10" t="n">
        <x:v>45824</x:v>
      </x:c>
      <x:c r="C289" t="str">
        <x:v>C022</x:v>
      </x:c>
      <x:c r="D289" t="str">
        <x:v>P010</x:v>
      </x:c>
      <x:c r="E289" t="n">
        <x:v>4</x:v>
      </x:c>
      <x:c r="F289" s="12" t="n">
        <x:v>0.15</x:v>
      </x:c>
      <x:c r="G289" t="str">
        <x:v>Retail</x:v>
      </x:c>
    </x:row>
    <x:row r="290" ht="15" hidden="0" customHeight="1">
      <x:c r="A290" t="str">
        <x:v>O0289</x:v>
      </x:c>
      <x:c r="B290" s="10" t="n">
        <x:v>45703</x:v>
      </x:c>
      <x:c r="C290" t="str">
        <x:v>C056</x:v>
      </x:c>
      <x:c r="D290" t="str">
        <x:v>P002</x:v>
      </x:c>
      <x:c r="E290" t="n">
        <x:v>2</x:v>
      </x:c>
      <x:c r="F290" s="12" t="n">
        <x:v>0.05</x:v>
      </x:c>
      <x:c r="G290" t="str">
        <x:v>Partner</x:v>
      </x:c>
    </x:row>
    <x:row r="291" ht="15" hidden="0" customHeight="1">
      <x:c r="A291" t="str">
        <x:v>O0290</x:v>
      </x:c>
      <x:c r="B291" s="10" t="n">
        <x:v>45863</x:v>
      </x:c>
      <x:c r="C291" t="str">
        <x:v>C068</x:v>
      </x:c>
      <x:c r="D291" t="str">
        <x:v>P002</x:v>
      </x:c>
      <x:c r="E291" t="n">
        <x:v>4</x:v>
      </x:c>
      <x:c r="F291" s="12" t="n">
        <x:v>0</x:v>
      </x:c>
      <x:c r="G291" t="str">
        <x:v>Partner</x:v>
      </x:c>
    </x:row>
    <x:row r="292" ht="15" hidden="0" customHeight="1">
      <x:c r="A292" t="str">
        <x:v>O0291</x:v>
      </x:c>
      <x:c r="B292" s="10" t="n">
        <x:v>45831</x:v>
      </x:c>
      <x:c r="C292" t="str">
        <x:v>C029</x:v>
      </x:c>
      <x:c r="D292" t="str">
        <x:v>P006</x:v>
      </x:c>
      <x:c r="E292" t="n">
        <x:v>2</x:v>
      </x:c>
      <x:c r="F292" s="12" t="n">
        <x:v>0</x:v>
      </x:c>
      <x:c r="G292" t="str">
        <x:v>Partner</x:v>
      </x:c>
    </x:row>
    <x:row r="293" ht="15" hidden="0" customHeight="1">
      <x:c r="A293" t="str">
        <x:v>O0292</x:v>
      </x:c>
      <x:c r="B293" s="10" t="n">
        <x:v>45982</x:v>
      </x:c>
      <x:c r="C293" t="str">
        <x:v>C015</x:v>
      </x:c>
      <x:c r="D293" t="str">
        <x:v>P009</x:v>
      </x:c>
      <x:c r="E293" t="n">
        <x:v>5</x:v>
      </x:c>
      <x:c r="F293" s="12" t="n">
        <x:v>0</x:v>
      </x:c>
      <x:c r="G293" t="str">
        <x:v>Retail</x:v>
      </x:c>
    </x:row>
    <x:row r="294" ht="15" hidden="0" customHeight="1">
      <x:c r="A294" t="str">
        <x:v>O0293</x:v>
      </x:c>
      <x:c r="B294" s="10" t="n">
        <x:v>45837</x:v>
      </x:c>
      <x:c r="C294" t="str">
        <x:v>C019</x:v>
      </x:c>
      <x:c r="D294" t="str">
        <x:v>P004</x:v>
      </x:c>
      <x:c r="E294" t="n">
        <x:v>1</x:v>
      </x:c>
      <x:c r="F294" s="12" t="n">
        <x:v>0</x:v>
      </x:c>
      <x:c r="G294" t="str">
        <x:v>Retail</x:v>
      </x:c>
    </x:row>
    <x:row r="295" ht="15" hidden="0" customHeight="1">
      <x:c r="A295" t="str">
        <x:v>O0294</x:v>
      </x:c>
      <x:c r="B295" s="10" t="n">
        <x:v>45759</x:v>
      </x:c>
      <x:c r="C295" t="str">
        <x:v>C023</x:v>
      </x:c>
      <x:c r="D295" t="str">
        <x:v>P010</x:v>
      </x:c>
      <x:c r="E295" t="n">
        <x:v>2</x:v>
      </x:c>
      <x:c r="F295" s="12" t="n">
        <x:v>0.15</x:v>
      </x:c>
      <x:c r="G295" t="str">
        <x:v>Online</x:v>
      </x:c>
    </x:row>
    <x:row r="296" ht="15" hidden="0" customHeight="1">
      <x:c r="A296" t="str">
        <x:v>O0295</x:v>
      </x:c>
      <x:c r="B296" s="10" t="n">
        <x:v>45748</x:v>
      </x:c>
      <x:c r="C296" t="str">
        <x:v>C064</x:v>
      </x:c>
      <x:c r="D296" t="str">
        <x:v>P008</x:v>
      </x:c>
      <x:c r="E296" t="n">
        <x:v>5</x:v>
      </x:c>
      <x:c r="F296" s="12" t="n">
        <x:v>0.1</x:v>
      </x:c>
      <x:c r="G296" t="str">
        <x:v>Retail</x:v>
      </x:c>
    </x:row>
    <x:row r="297" ht="15" hidden="0" customHeight="1">
      <x:c r="A297" t="str">
        <x:v>O0296</x:v>
      </x:c>
      <x:c r="B297" s="10" t="n">
        <x:v>46006</x:v>
      </x:c>
      <x:c r="C297" t="str">
        <x:v>C073</x:v>
      </x:c>
      <x:c r="D297" t="str">
        <x:v>P011</x:v>
      </x:c>
      <x:c r="E297" t="n">
        <x:v>6</x:v>
      </x:c>
      <x:c r="F297" s="12" t="n">
        <x:v>0.1</x:v>
      </x:c>
      <x:c r="G297" t="str">
        <x:v>Retail</x:v>
      </x:c>
    </x:row>
    <x:row r="298" ht="15" hidden="0" customHeight="1">
      <x:c r="A298" t="str">
        <x:v>O0297</x:v>
      </x:c>
      <x:c r="B298" s="10" t="n">
        <x:v>45979</x:v>
      </x:c>
      <x:c r="C298" t="str">
        <x:v>C041</x:v>
      </x:c>
      <x:c r="D298" t="str">
        <x:v>P003</x:v>
      </x:c>
      <x:c r="E298" t="n">
        <x:v>4</x:v>
      </x:c>
      <x:c r="F298" s="12" t="n">
        <x:v>0</x:v>
      </x:c>
      <x:c r="G298" t="str">
        <x:v>Retail</x:v>
      </x:c>
    </x:row>
    <x:row r="299" ht="15" hidden="0" customHeight="1">
      <x:c r="A299" t="str">
        <x:v>O0298</x:v>
      </x:c>
      <x:c r="B299" s="10" t="n">
        <x:v>45884</x:v>
      </x:c>
      <x:c r="C299" t="str">
        <x:v>C039</x:v>
      </x:c>
      <x:c r="D299" t="str">
        <x:v>P005</x:v>
      </x:c>
      <x:c r="E299" t="n">
        <x:v>5</x:v>
      </x:c>
      <x:c r="F299" s="12" t="n">
        <x:v>0</x:v>
      </x:c>
      <x:c r="G299" t="str">
        <x:v>Retail</x:v>
      </x:c>
    </x:row>
    <x:row r="300" ht="15" hidden="0" customHeight="1">
      <x:c r="A300" t="str">
        <x:v>O0299</x:v>
      </x:c>
      <x:c r="B300" s="10" t="n">
        <x:v>45917</x:v>
      </x:c>
      <x:c r="C300" t="str">
        <x:v>C010</x:v>
      </x:c>
      <x:c r="D300" t="str">
        <x:v>P005</x:v>
      </x:c>
      <x:c r="E300" t="n">
        <x:v>4</x:v>
      </x:c>
      <x:c r="F300" s="12" t="n">
        <x:v>0.05</x:v>
      </x:c>
      <x:c r="G300" t="str">
        <x:v>Online</x:v>
      </x:c>
    </x:row>
    <x:row r="301" ht="15" hidden="0" customHeight="1">
      <x:c r="A301" t="str">
        <x:v>O0300</x:v>
      </x:c>
      <x:c r="B301" s="10" t="n">
        <x:v>45687</x:v>
      </x:c>
      <x:c r="C301" t="str">
        <x:v>C048</x:v>
      </x:c>
      <x:c r="D301" t="str">
        <x:v>P005</x:v>
      </x:c>
      <x:c r="E301" t="n">
        <x:v>1</x:v>
      </x:c>
      <x:c r="F301" s="12" t="n">
        <x:v>0.15</x:v>
      </x:c>
      <x:c r="G301" t="str">
        <x:v>Online</x:v>
      </x:c>
    </x:row>
    <x:row r="302" ht="15" hidden="0" customHeight="1">
      <x:c r="A302" t="str">
        <x:v>O0301</x:v>
      </x:c>
      <x:c r="B302" s="10" t="n">
        <x:v>45972</x:v>
      </x:c>
      <x:c r="C302" t="str">
        <x:v>C077</x:v>
      </x:c>
      <x:c r="D302" t="str">
        <x:v>P009</x:v>
      </x:c>
      <x:c r="E302" t="n">
        <x:v>4</x:v>
      </x:c>
      <x:c r="F302" s="12" t="n">
        <x:v>0.05</x:v>
      </x:c>
      <x:c r="G302" t="str">
        <x:v>Partner</x:v>
      </x:c>
    </x:row>
    <x:row r="303" ht="15" hidden="0" customHeight="1">
      <x:c r="A303" t="str">
        <x:v>O0302</x:v>
      </x:c>
      <x:c r="B303" s="10" t="n">
        <x:v>45941</x:v>
      </x:c>
      <x:c r="C303" t="str">
        <x:v>C006</x:v>
      </x:c>
      <x:c r="D303" t="str">
        <x:v>P008</x:v>
      </x:c>
      <x:c r="E303" t="n">
        <x:v>5</x:v>
      </x:c>
      <x:c r="F303" s="12" t="n">
        <x:v>0.15</x:v>
      </x:c>
      <x:c r="G303" t="str">
        <x:v>Online</x:v>
      </x:c>
    </x:row>
    <x:row r="304" ht="15" hidden="0" customHeight="1">
      <x:c r="A304" t="str">
        <x:v>O0303</x:v>
      </x:c>
      <x:c r="B304" s="10" t="n">
        <x:v>45822</x:v>
      </x:c>
      <x:c r="C304" t="str">
        <x:v>C078</x:v>
      </x:c>
      <x:c r="D304" t="str">
        <x:v>P008</x:v>
      </x:c>
      <x:c r="E304" t="n">
        <x:v>5</x:v>
      </x:c>
      <x:c r="F304" s="12" t="n">
        <x:v>0</x:v>
      </x:c>
      <x:c r="G304" t="str">
        <x:v>Online</x:v>
      </x:c>
    </x:row>
    <x:row r="305" ht="15" hidden="0" customHeight="1">
      <x:c r="A305" t="str">
        <x:v>O0304</x:v>
      </x:c>
      <x:c r="B305" s="10" t="n">
        <x:v>45888</x:v>
      </x:c>
      <x:c r="C305" t="str">
        <x:v>C014</x:v>
      </x:c>
      <x:c r="D305" t="str">
        <x:v>P006</x:v>
      </x:c>
      <x:c r="E305" t="n">
        <x:v>6</x:v>
      </x:c>
      <x:c r="F305" s="12" t="n">
        <x:v>0</x:v>
      </x:c>
      <x:c r="G305" t="str">
        <x:v>Partner</x:v>
      </x:c>
    </x:row>
    <x:row r="306" ht="15" hidden="0" customHeight="1">
      <x:c r="A306" t="str">
        <x:v>O0305</x:v>
      </x:c>
      <x:c r="B306" s="10" t="n">
        <x:v>45988</x:v>
      </x:c>
      <x:c r="C306" t="str">
        <x:v>C023</x:v>
      </x:c>
      <x:c r="D306" t="str">
        <x:v>P001</x:v>
      </x:c>
      <x:c r="E306" t="n">
        <x:v>2</x:v>
      </x:c>
      <x:c r="F306" s="12" t="n">
        <x:v>0.15</x:v>
      </x:c>
      <x:c r="G306" t="str">
        <x:v>Retail</x:v>
      </x:c>
    </x:row>
    <x:row r="307" ht="15" hidden="0" customHeight="1">
      <x:c r="A307" t="str">
        <x:v>O0306</x:v>
      </x:c>
      <x:c r="B307" s="10" t="n">
        <x:v>45882</x:v>
      </x:c>
      <x:c r="C307" t="str">
        <x:v>C068</x:v>
      </x:c>
      <x:c r="D307" t="str">
        <x:v>P009</x:v>
      </x:c>
      <x:c r="E307" t="n">
        <x:v>5</x:v>
      </x:c>
      <x:c r="F307" s="12" t="n">
        <x:v>0</x:v>
      </x:c>
      <x:c r="G307" t="str">
        <x:v>Retail</x:v>
      </x:c>
    </x:row>
    <x:row r="308" ht="15" hidden="0" customHeight="1">
      <x:c r="A308" t="str">
        <x:v>O0307</x:v>
      </x:c>
      <x:c r="B308" s="10" t="n">
        <x:v>45848</x:v>
      </x:c>
      <x:c r="C308" t="str">
        <x:v>C037</x:v>
      </x:c>
      <x:c r="D308" t="str">
        <x:v>P007</x:v>
      </x:c>
      <x:c r="E308" t="n">
        <x:v>4</x:v>
      </x:c>
      <x:c r="F308" s="12" t="n">
        <x:v>0</x:v>
      </x:c>
      <x:c r="G308" t="str">
        <x:v>Partner</x:v>
      </x:c>
    </x:row>
    <x:row r="309" ht="15" hidden="0" customHeight="1">
      <x:c r="A309" t="str">
        <x:v>O0308</x:v>
      </x:c>
      <x:c r="B309" s="10" t="n">
        <x:v>45964</x:v>
      </x:c>
      <x:c r="C309" t="str">
        <x:v>C007</x:v>
      </x:c>
      <x:c r="D309" t="str">
        <x:v>P011</x:v>
      </x:c>
      <x:c r="E309" t="n">
        <x:v>6</x:v>
      </x:c>
      <x:c r="F309" s="12" t="n">
        <x:v>0</x:v>
      </x:c>
      <x:c r="G309" t="str">
        <x:v>Online</x:v>
      </x:c>
    </x:row>
    <x:row r="310" ht="15" hidden="0" customHeight="1">
      <x:c r="A310" t="str">
        <x:v>O0309</x:v>
      </x:c>
      <x:c r="B310" s="10" t="n">
        <x:v>45826</x:v>
      </x:c>
      <x:c r="C310" t="str">
        <x:v>C013</x:v>
      </x:c>
      <x:c r="D310" t="str">
        <x:v>P009</x:v>
      </x:c>
      <x:c r="E310" t="n">
        <x:v>6</x:v>
      </x:c>
      <x:c r="F310" s="12" t="n">
        <x:v>0.05</x:v>
      </x:c>
      <x:c r="G310" t="str">
        <x:v>Retail</x:v>
      </x:c>
    </x:row>
    <x:row r="311" ht="15" hidden="0" customHeight="1">
      <x:c r="A311" t="str">
        <x:v>O0310</x:v>
      </x:c>
      <x:c r="B311" s="10" t="n">
        <x:v>45787</x:v>
      </x:c>
      <x:c r="C311" t="str">
        <x:v>C078</x:v>
      </x:c>
      <x:c r="D311" t="str">
        <x:v>P003</x:v>
      </x:c>
      <x:c r="E311" t="n">
        <x:v>3</x:v>
      </x:c>
      <x:c r="F311" s="12" t="n">
        <x:v>0</x:v>
      </x:c>
      <x:c r="G311" t="str">
        <x:v>Partner</x:v>
      </x:c>
    </x:row>
    <x:row r="312" ht="15" hidden="0" customHeight="1">
      <x:c r="A312" t="str">
        <x:v>O0311</x:v>
      </x:c>
      <x:c r="B312" s="10" t="n">
        <x:v>45997</x:v>
      </x:c>
      <x:c r="C312" t="str">
        <x:v>C019</x:v>
      </x:c>
      <x:c r="D312" t="str">
        <x:v>P006</x:v>
      </x:c>
      <x:c r="E312" t="n">
        <x:v>3</x:v>
      </x:c>
      <x:c r="F312" s="12" t="n">
        <x:v>0.15</x:v>
      </x:c>
      <x:c r="G312" t="str">
        <x:v>Partner</x:v>
      </x:c>
    </x:row>
    <x:row r="313" ht="15" hidden="0" customHeight="1">
      <x:c r="A313" t="str">
        <x:v>O0312</x:v>
      </x:c>
      <x:c r="B313" s="10" t="n">
        <x:v>45997</x:v>
      </x:c>
      <x:c r="C313" t="str">
        <x:v>C051</x:v>
      </x:c>
      <x:c r="D313" t="str">
        <x:v>P003</x:v>
      </x:c>
      <x:c r="E313" t="n">
        <x:v>5</x:v>
      </x:c>
      <x:c r="F313" s="12" t="n">
        <x:v>0.15</x:v>
      </x:c>
      <x:c r="G313" t="str">
        <x:v>Online</x:v>
      </x:c>
    </x:row>
    <x:row r="314" ht="15" hidden="0" customHeight="1">
      <x:c r="A314" t="str">
        <x:v>O0313</x:v>
      </x:c>
      <x:c r="B314" s="10" t="n">
        <x:v>45816</x:v>
      </x:c>
      <x:c r="C314" t="str">
        <x:v>C072</x:v>
      </x:c>
      <x:c r="D314" t="str">
        <x:v>P007</x:v>
      </x:c>
      <x:c r="E314" t="n">
        <x:v>6</x:v>
      </x:c>
      <x:c r="F314" s="12" t="n">
        <x:v>0</x:v>
      </x:c>
      <x:c r="G314" t="str">
        <x:v>Online</x:v>
      </x:c>
    </x:row>
    <x:row r="315" ht="15" hidden="0" customHeight="1">
      <x:c r="A315" t="str">
        <x:v>O0314</x:v>
      </x:c>
      <x:c r="B315" s="10" t="n">
        <x:v>46001</x:v>
      </x:c>
      <x:c r="C315" t="str">
        <x:v>C068</x:v>
      </x:c>
      <x:c r="D315" t="str">
        <x:v>P002</x:v>
      </x:c>
      <x:c r="E315" t="n">
        <x:v>6</x:v>
      </x:c>
      <x:c r="F315" s="12" t="n">
        <x:v>0.15</x:v>
      </x:c>
      <x:c r="G315" t="str">
        <x:v>Retail</x:v>
      </x:c>
    </x:row>
    <x:row r="316" ht="15" hidden="0" customHeight="1">
      <x:c r="A316" t="str">
        <x:v>O0315</x:v>
      </x:c>
      <x:c r="B316" s="10" t="n">
        <x:v>45918</x:v>
      </x:c>
      <x:c r="C316" t="str">
        <x:v>C047</x:v>
      </x:c>
      <x:c r="D316" t="str">
        <x:v>P001</x:v>
      </x:c>
      <x:c r="E316" t="n">
        <x:v>3</x:v>
      </x:c>
      <x:c r="F316" s="12" t="n">
        <x:v>0</x:v>
      </x:c>
      <x:c r="G316" t="str">
        <x:v>Online</x:v>
      </x:c>
    </x:row>
    <x:row r="317" ht="15" hidden="0" customHeight="1">
      <x:c r="A317" t="str">
        <x:v>O0316</x:v>
      </x:c>
      <x:c r="B317" s="10" t="n">
        <x:v>45767</x:v>
      </x:c>
      <x:c r="C317" t="str">
        <x:v>C044</x:v>
      </x:c>
      <x:c r="D317" t="str">
        <x:v>P008</x:v>
      </x:c>
      <x:c r="E317" t="n">
        <x:v>2</x:v>
      </x:c>
      <x:c r="F317" s="12" t="n">
        <x:v>0</x:v>
      </x:c>
      <x:c r="G317" t="str">
        <x:v>Online</x:v>
      </x:c>
    </x:row>
    <x:row r="318" ht="15" hidden="0" customHeight="1">
      <x:c r="A318" t="str">
        <x:v>O0317</x:v>
      </x:c>
      <x:c r="B318" s="10" t="n">
        <x:v>45737</x:v>
      </x:c>
      <x:c r="C318" t="str">
        <x:v>C010</x:v>
      </x:c>
      <x:c r="D318" t="str">
        <x:v>P005</x:v>
      </x:c>
      <x:c r="E318" t="n">
        <x:v>1</x:v>
      </x:c>
      <x:c r="F318" s="12" t="n">
        <x:v>0.1</x:v>
      </x:c>
      <x:c r="G318" t="str">
        <x:v>Partner</x:v>
      </x:c>
    </x:row>
    <x:row r="319" ht="15" hidden="0" customHeight="1">
      <x:c r="A319" t="str">
        <x:v>O0318</x:v>
      </x:c>
      <x:c r="B319" s="10" t="n">
        <x:v>45927</x:v>
      </x:c>
      <x:c r="C319" t="str">
        <x:v>C005</x:v>
      </x:c>
      <x:c r="D319" t="str">
        <x:v>P011</x:v>
      </x:c>
      <x:c r="E319" t="n">
        <x:v>3</x:v>
      </x:c>
      <x:c r="F319" s="12" t="n">
        <x:v>0.1</x:v>
      </x:c>
      <x:c r="G319" t="str">
        <x:v>Online</x:v>
      </x:c>
    </x:row>
    <x:row r="320" ht="15" hidden="0" customHeight="1">
      <x:c r="A320" t="str">
        <x:v>O0319</x:v>
      </x:c>
      <x:c r="B320" s="10" t="n">
        <x:v>45963</x:v>
      </x:c>
      <x:c r="C320" t="str">
        <x:v>C049</x:v>
      </x:c>
      <x:c r="D320" t="str">
        <x:v>P003</x:v>
      </x:c>
      <x:c r="E320" t="n">
        <x:v>2</x:v>
      </x:c>
      <x:c r="F320" s="12" t="n">
        <x:v>0</x:v>
      </x:c>
      <x:c r="G320" t="str">
        <x:v>Partner</x:v>
      </x:c>
    </x:row>
    <x:row r="321" ht="15" hidden="0" customHeight="1">
      <x:c r="A321" t="str">
        <x:v>O0320</x:v>
      </x:c>
      <x:c r="B321" s="10" t="n">
        <x:v>45977</x:v>
      </x:c>
      <x:c r="C321" t="str">
        <x:v>C022</x:v>
      </x:c>
      <x:c r="D321" t="str">
        <x:v>P012</x:v>
      </x:c>
      <x:c r="E321" t="n">
        <x:v>4</x:v>
      </x:c>
      <x:c r="F321" s="12" t="n">
        <x:v>0</x:v>
      </x:c>
      <x:c r="G321" t="str">
        <x:v>Retail</x:v>
      </x:c>
    </x:row>
    <x:row r="322" ht="15" hidden="0" customHeight="1">
      <x:c r="A322" t="str">
        <x:v>O0321</x:v>
      </x:c>
      <x:c r="B322" s="10" t="n">
        <x:v>45844</x:v>
      </x:c>
      <x:c r="C322" t="str">
        <x:v>C031</x:v>
      </x:c>
      <x:c r="D322" t="str">
        <x:v>P008</x:v>
      </x:c>
      <x:c r="E322" t="n">
        <x:v>5</x:v>
      </x:c>
      <x:c r="F322" s="12" t="n">
        <x:v>0</x:v>
      </x:c>
      <x:c r="G322" t="str">
        <x:v>Partner</x:v>
      </x:c>
    </x:row>
    <x:row r="323" ht="15" hidden="0" customHeight="1">
      <x:c r="A323" t="str">
        <x:v>O0322</x:v>
      </x:c>
      <x:c r="B323" s="10" t="n">
        <x:v>45887</x:v>
      </x:c>
      <x:c r="C323" t="str">
        <x:v>C030</x:v>
      </x:c>
      <x:c r="D323" t="str">
        <x:v>P009</x:v>
      </x:c>
      <x:c r="E323" t="n">
        <x:v>2</x:v>
      </x:c>
      <x:c r="F323" s="12" t="n">
        <x:v>0</x:v>
      </x:c>
      <x:c r="G323" t="str">
        <x:v>Retail</x:v>
      </x:c>
    </x:row>
    <x:row r="324" ht="15" hidden="0" customHeight="1">
      <x:c r="A324" t="str">
        <x:v>O0323</x:v>
      </x:c>
      <x:c r="B324" s="10" t="n">
        <x:v>45757</x:v>
      </x:c>
      <x:c r="C324" t="str">
        <x:v>C048</x:v>
      </x:c>
      <x:c r="D324" t="str">
        <x:v>P011</x:v>
      </x:c>
      <x:c r="E324" t="n">
        <x:v>5</x:v>
      </x:c>
      <x:c r="F324" s="12" t="n">
        <x:v>0.05</x:v>
      </x:c>
      <x:c r="G324" t="str">
        <x:v>Retail</x:v>
      </x:c>
    </x:row>
    <x:row r="325" ht="15" hidden="0" customHeight="1">
      <x:c r="A325" t="str">
        <x:v>O0324</x:v>
      </x:c>
      <x:c r="B325" s="10" t="n">
        <x:v>45802</x:v>
      </x:c>
      <x:c r="C325" t="str">
        <x:v>C049</x:v>
      </x:c>
      <x:c r="D325" t="str">
        <x:v>P009</x:v>
      </x:c>
      <x:c r="E325" t="n">
        <x:v>5</x:v>
      </x:c>
      <x:c r="F325" s="12" t="n">
        <x:v>0.05</x:v>
      </x:c>
      <x:c r="G325" t="str">
        <x:v>Online</x:v>
      </x:c>
    </x:row>
    <x:row r="326" ht="15" hidden="0" customHeight="1">
      <x:c r="A326" t="str">
        <x:v>O0325</x:v>
      </x:c>
      <x:c r="B326" s="10" t="n">
        <x:v>45760</x:v>
      </x:c>
      <x:c r="C326" t="str">
        <x:v>C078</x:v>
      </x:c>
      <x:c r="D326" t="str">
        <x:v>P003</x:v>
      </x:c>
      <x:c r="E326" t="n">
        <x:v>3</x:v>
      </x:c>
      <x:c r="F326" s="12" t="n">
        <x:v>0</x:v>
      </x:c>
      <x:c r="G326" t="str">
        <x:v>Partner</x:v>
      </x:c>
    </x:row>
    <x:row r="327" ht="15" hidden="0" customHeight="1">
      <x:c r="A327" t="str">
        <x:v>O0326</x:v>
      </x:c>
      <x:c r="B327" s="10" t="n">
        <x:v>45904</x:v>
      </x:c>
      <x:c r="C327" t="str">
        <x:v>C048</x:v>
      </x:c>
      <x:c r="D327" t="str">
        <x:v>P009</x:v>
      </x:c>
      <x:c r="E327" t="n">
        <x:v>1</x:v>
      </x:c>
      <x:c r="F327" s="12" t="n">
        <x:v>0.15</x:v>
      </x:c>
      <x:c r="G327" t="str">
        <x:v>Partner</x:v>
      </x:c>
    </x:row>
    <x:row r="328" ht="15" hidden="0" customHeight="1">
      <x:c r="A328" t="str">
        <x:v>O0327</x:v>
      </x:c>
      <x:c r="B328" s="10" t="n">
        <x:v>45721</x:v>
      </x:c>
      <x:c r="C328" t="str">
        <x:v>C037</x:v>
      </x:c>
      <x:c r="D328" t="str">
        <x:v>P002</x:v>
      </x:c>
      <x:c r="E328" t="n">
        <x:v>2</x:v>
      </x:c>
      <x:c r="F328" s="12" t="n">
        <x:v>0</x:v>
      </x:c>
      <x:c r="G328" t="str">
        <x:v>Retail</x:v>
      </x:c>
    </x:row>
    <x:row r="329" ht="15" hidden="0" customHeight="1">
      <x:c r="A329" t="str">
        <x:v>O0328</x:v>
      </x:c>
      <x:c r="B329" s="10" t="n">
        <x:v>45920</x:v>
      </x:c>
      <x:c r="C329" t="str">
        <x:v>C019</x:v>
      </x:c>
      <x:c r="D329" t="str">
        <x:v>P007</x:v>
      </x:c>
      <x:c r="E329" t="n">
        <x:v>1</x:v>
      </x:c>
      <x:c r="F329" s="12" t="n">
        <x:v>0</x:v>
      </x:c>
      <x:c r="G329" t="str">
        <x:v>Retail</x:v>
      </x:c>
    </x:row>
    <x:row r="330" ht="15" hidden="0" customHeight="1">
      <x:c r="A330" t="str">
        <x:v>O0329</x:v>
      </x:c>
      <x:c r="B330" s="10" t="n">
        <x:v>45836</x:v>
      </x:c>
      <x:c r="C330" t="str">
        <x:v>C004</x:v>
      </x:c>
      <x:c r="D330" t="str">
        <x:v>P007</x:v>
      </x:c>
      <x:c r="E330" t="n">
        <x:v>1</x:v>
      </x:c>
      <x:c r="F330" s="12" t="n">
        <x:v>0.05</x:v>
      </x:c>
      <x:c r="G330" t="str">
        <x:v>Partner</x:v>
      </x:c>
    </x:row>
    <x:row r="331" ht="15" hidden="0" customHeight="1">
      <x:c r="A331" t="str">
        <x:v>O0330</x:v>
      </x:c>
      <x:c r="B331" s="10" t="n">
        <x:v>45849</x:v>
      </x:c>
      <x:c r="C331" t="str">
        <x:v>C031</x:v>
      </x:c>
      <x:c r="D331" t="str">
        <x:v>P007</x:v>
      </x:c>
      <x:c r="E331" t="n">
        <x:v>1</x:v>
      </x:c>
      <x:c r="F331" s="12" t="n">
        <x:v>0</x:v>
      </x:c>
      <x:c r="G331" t="str">
        <x:v>Online</x:v>
      </x:c>
    </x:row>
    <x:row r="332" ht="15" hidden="0" customHeight="1">
      <x:c r="A332" t="str">
        <x:v>O0331</x:v>
      </x:c>
      <x:c r="B332" s="10" t="n">
        <x:v>45672</x:v>
      </x:c>
      <x:c r="C332" t="str">
        <x:v>C041</x:v>
      </x:c>
      <x:c r="D332" t="str">
        <x:v>P002</x:v>
      </x:c>
      <x:c r="E332" t="n">
        <x:v>6</x:v>
      </x:c>
      <x:c r="F332" s="12" t="n">
        <x:v>0.15</x:v>
      </x:c>
      <x:c r="G332" t="str">
        <x:v>Retail</x:v>
      </x:c>
    </x:row>
    <x:row r="333" ht="15" hidden="0" customHeight="1">
      <x:c r="A333" t="str">
        <x:v>O0332</x:v>
      </x:c>
      <x:c r="B333" s="10" t="n">
        <x:v>45732</x:v>
      </x:c>
      <x:c r="C333" t="str">
        <x:v>C018</x:v>
      </x:c>
      <x:c r="D333" t="str">
        <x:v>P001</x:v>
      </x:c>
      <x:c r="E333" t="n">
        <x:v>3</x:v>
      </x:c>
      <x:c r="F333" s="12" t="n">
        <x:v>0.05</x:v>
      </x:c>
      <x:c r="G333" t="str">
        <x:v>Partner</x:v>
      </x:c>
    </x:row>
    <x:row r="334" ht="15" hidden="0" customHeight="1">
      <x:c r="A334" t="str">
        <x:v>O0333</x:v>
      </x:c>
      <x:c r="B334" s="10" t="n">
        <x:v>45729</x:v>
      </x:c>
      <x:c r="C334" t="str">
        <x:v>C061</x:v>
      </x:c>
      <x:c r="D334" t="str">
        <x:v>P008</x:v>
      </x:c>
      <x:c r="E334" t="n">
        <x:v>5</x:v>
      </x:c>
      <x:c r="F334" s="12" t="n">
        <x:v>0</x:v>
      </x:c>
      <x:c r="G334" t="str">
        <x:v>Online</x:v>
      </x:c>
    </x:row>
    <x:row r="335" ht="15" hidden="0" customHeight="1">
      <x:c r="A335" t="str">
        <x:v>O0334</x:v>
      </x:c>
      <x:c r="B335" s="10" t="n">
        <x:v>45667</x:v>
      </x:c>
      <x:c r="C335" t="str">
        <x:v>C033</x:v>
      </x:c>
      <x:c r="D335" t="str">
        <x:v>P004</x:v>
      </x:c>
      <x:c r="E335" t="n">
        <x:v>2</x:v>
      </x:c>
      <x:c r="F335" s="12" t="n">
        <x:v>0.1</x:v>
      </x:c>
      <x:c r="G335" t="str">
        <x:v>Partner</x:v>
      </x:c>
    </x:row>
    <x:row r="336" ht="15" hidden="0" customHeight="1">
      <x:c r="A336" t="str">
        <x:v>O0335</x:v>
      </x:c>
      <x:c r="B336" s="10" t="n">
        <x:v>45969</x:v>
      </x:c>
      <x:c r="C336" t="str">
        <x:v>C068</x:v>
      </x:c>
      <x:c r="D336" t="str">
        <x:v>P007</x:v>
      </x:c>
      <x:c r="E336" t="n">
        <x:v>1</x:v>
      </x:c>
      <x:c r="F336" s="12" t="n">
        <x:v>0</x:v>
      </x:c>
      <x:c r="G336" t="str">
        <x:v>Online</x:v>
      </x:c>
    </x:row>
    <x:row r="337" ht="15" hidden="0" customHeight="1">
      <x:c r="A337" t="str">
        <x:v>O0336</x:v>
      </x:c>
      <x:c r="B337" s="10" t="n">
        <x:v>45812</x:v>
      </x:c>
      <x:c r="C337" t="str">
        <x:v>C016</x:v>
      </x:c>
      <x:c r="D337" t="str">
        <x:v>P001</x:v>
      </x:c>
      <x:c r="E337" t="n">
        <x:v>2</x:v>
      </x:c>
      <x:c r="F337" s="12" t="n">
        <x:v>0.05</x:v>
      </x:c>
      <x:c r="G337" t="str">
        <x:v>Partner</x:v>
      </x:c>
    </x:row>
    <x:row r="338" ht="15" hidden="0" customHeight="1">
      <x:c r="A338" t="str">
        <x:v>O0337</x:v>
      </x:c>
      <x:c r="B338" s="10" t="n">
        <x:v>45976</x:v>
      </x:c>
      <x:c r="C338" t="str">
        <x:v>C059</x:v>
      </x:c>
      <x:c r="D338" t="str">
        <x:v>P002</x:v>
      </x:c>
      <x:c r="E338" t="n">
        <x:v>1</x:v>
      </x:c>
      <x:c r="F338" s="12" t="n">
        <x:v>0.05</x:v>
      </x:c>
      <x:c r="G338" t="str">
        <x:v>Partner</x:v>
      </x:c>
    </x:row>
    <x:row r="339" ht="15" hidden="0" customHeight="1">
      <x:c r="A339" t="str">
        <x:v>O0338</x:v>
      </x:c>
      <x:c r="B339" s="10" t="n">
        <x:v>45932</x:v>
      </x:c>
      <x:c r="C339" t="str">
        <x:v>C003</x:v>
      </x:c>
      <x:c r="D339" t="str">
        <x:v>P011</x:v>
      </x:c>
      <x:c r="E339" t="n">
        <x:v>5</x:v>
      </x:c>
      <x:c r="F339" s="12" t="n">
        <x:v>0.1</x:v>
      </x:c>
      <x:c r="G339" t="str">
        <x:v>Online</x:v>
      </x:c>
    </x:row>
    <x:row r="340" ht="15" hidden="0" customHeight="1">
      <x:c r="A340" t="str">
        <x:v>O0339</x:v>
      </x:c>
      <x:c r="B340" s="10" t="n">
        <x:v>45731</x:v>
      </x:c>
      <x:c r="C340" t="str">
        <x:v>C038</x:v>
      </x:c>
      <x:c r="D340" t="str">
        <x:v>P007</x:v>
      </x:c>
      <x:c r="E340" t="n">
        <x:v>1</x:v>
      </x:c>
      <x:c r="F340" s="12" t="n">
        <x:v>0.1</x:v>
      </x:c>
      <x:c r="G340" t="str">
        <x:v>Retail</x:v>
      </x:c>
    </x:row>
    <x:row r="341" ht="15" hidden="0" customHeight="1">
      <x:c r="A341" t="str">
        <x:v>O0340</x:v>
      </x:c>
      <x:c r="B341" s="10" t="n">
        <x:v>45781</x:v>
      </x:c>
      <x:c r="C341" t="str">
        <x:v>C074</x:v>
      </x:c>
      <x:c r="D341" t="str">
        <x:v>P007</x:v>
      </x:c>
      <x:c r="E341" t="n">
        <x:v>2</x:v>
      </x:c>
      <x:c r="F341" s="12" t="n">
        <x:v>0.15</x:v>
      </x:c>
      <x:c r="G341" t="str">
        <x:v>Partner</x:v>
      </x:c>
    </x:row>
    <x:row r="342" ht="15" hidden="0" customHeight="1">
      <x:c r="A342" t="str">
        <x:v>O0341</x:v>
      </x:c>
      <x:c r="B342" s="10" t="n">
        <x:v>45701</x:v>
      </x:c>
      <x:c r="C342" t="str">
        <x:v>C068</x:v>
      </x:c>
      <x:c r="D342" t="str">
        <x:v>P006</x:v>
      </x:c>
      <x:c r="E342" t="n">
        <x:v>1</x:v>
      </x:c>
      <x:c r="F342" s="12" t="n">
        <x:v>0.1</x:v>
      </x:c>
      <x:c r="G342" t="str">
        <x:v>Partner</x:v>
      </x:c>
    </x:row>
    <x:row r="343" ht="15" hidden="0" customHeight="1">
      <x:c r="A343" t="str">
        <x:v>O0342</x:v>
      </x:c>
      <x:c r="B343" s="10" t="n">
        <x:v>45917</x:v>
      </x:c>
      <x:c r="C343" t="str">
        <x:v>C065</x:v>
      </x:c>
      <x:c r="D343" t="str">
        <x:v>P009</x:v>
      </x:c>
      <x:c r="E343" t="n">
        <x:v>1</x:v>
      </x:c>
      <x:c r="F343" s="12" t="n">
        <x:v>0.05</x:v>
      </x:c>
      <x:c r="G343" t="str">
        <x:v>Retail</x:v>
      </x:c>
    </x:row>
    <x:row r="344" ht="15" hidden="0" customHeight="1">
      <x:c r="A344" t="str">
        <x:v>O0343</x:v>
      </x:c>
      <x:c r="B344" s="10" t="n">
        <x:v>45680</x:v>
      </x:c>
      <x:c r="C344" t="str">
        <x:v>C050</x:v>
      </x:c>
      <x:c r="D344" t="str">
        <x:v>P006</x:v>
      </x:c>
      <x:c r="E344" t="n">
        <x:v>3</x:v>
      </x:c>
      <x:c r="F344" s="12" t="n">
        <x:v>0.15</x:v>
      </x:c>
      <x:c r="G344" t="str">
        <x:v>Online</x:v>
      </x:c>
    </x:row>
    <x:row r="345" ht="15" hidden="0" customHeight="1">
      <x:c r="A345" t="str">
        <x:v>O0344</x:v>
      </x:c>
      <x:c r="B345" s="10" t="n">
        <x:v>45840</x:v>
      </x:c>
      <x:c r="C345" t="str">
        <x:v>C009</x:v>
      </x:c>
      <x:c r="D345" t="str">
        <x:v>P006</x:v>
      </x:c>
      <x:c r="E345" t="n">
        <x:v>2</x:v>
      </x:c>
      <x:c r="F345" s="12" t="n">
        <x:v>0.15</x:v>
      </x:c>
      <x:c r="G345" t="str">
        <x:v>Partner</x:v>
      </x:c>
    </x:row>
    <x:row r="346" ht="15" hidden="0" customHeight="1">
      <x:c r="A346" t="str">
        <x:v>O0345</x:v>
      </x:c>
      <x:c r="B346" s="10" t="n">
        <x:v>45979</x:v>
      </x:c>
      <x:c r="C346" t="str">
        <x:v>C014</x:v>
      </x:c>
      <x:c r="D346" t="str">
        <x:v>P010</x:v>
      </x:c>
      <x:c r="E346" t="n">
        <x:v>6</x:v>
      </x:c>
      <x:c r="F346" s="12" t="n">
        <x:v>0</x:v>
      </x:c>
      <x:c r="G346" t="str">
        <x:v>Online</x:v>
      </x:c>
    </x:row>
    <x:row r="347" ht="15" hidden="0" customHeight="1">
      <x:c r="A347" t="str">
        <x:v>O0346</x:v>
      </x:c>
      <x:c r="B347" s="10" t="n">
        <x:v>45680</x:v>
      </x:c>
      <x:c r="C347" t="str">
        <x:v>C046</x:v>
      </x:c>
      <x:c r="D347" t="str">
        <x:v>P009</x:v>
      </x:c>
      <x:c r="E347" t="n">
        <x:v>3</x:v>
      </x:c>
      <x:c r="F347" s="12" t="n">
        <x:v>0.15</x:v>
      </x:c>
      <x:c r="G347" t="str">
        <x:v>Online</x:v>
      </x:c>
    </x:row>
    <x:row r="348" ht="15" hidden="0" customHeight="1">
      <x:c r="A348" t="str">
        <x:v>O0347</x:v>
      </x:c>
      <x:c r="B348" s="10" t="n">
        <x:v>46008</x:v>
      </x:c>
      <x:c r="C348" t="str">
        <x:v>C060</x:v>
      </x:c>
      <x:c r="D348" t="str">
        <x:v>P012</x:v>
      </x:c>
      <x:c r="E348" t="n">
        <x:v>4</x:v>
      </x:c>
      <x:c r="F348" s="12" t="n">
        <x:v>0.15</x:v>
      </x:c>
      <x:c r="G348" t="str">
        <x:v>Online</x:v>
      </x:c>
    </x:row>
    <x:row r="349" ht="15" hidden="0" customHeight="1">
      <x:c r="A349" t="str">
        <x:v>O0348</x:v>
      </x:c>
      <x:c r="B349" s="10" t="n">
        <x:v>45727</x:v>
      </x:c>
      <x:c r="C349" t="str">
        <x:v>C009</x:v>
      </x:c>
      <x:c r="D349" t="str">
        <x:v>P012</x:v>
      </x:c>
      <x:c r="E349" t="n">
        <x:v>4</x:v>
      </x:c>
      <x:c r="F349" s="12" t="n">
        <x:v>0</x:v>
      </x:c>
      <x:c r="G349" t="str">
        <x:v>Retail</x:v>
      </x:c>
    </x:row>
    <x:row r="350" ht="15" hidden="0" customHeight="1">
      <x:c r="A350" t="str">
        <x:v>O0349</x:v>
      </x:c>
      <x:c r="B350" s="10" t="n">
        <x:v>45761</x:v>
      </x:c>
      <x:c r="C350" t="str">
        <x:v>C006</x:v>
      </x:c>
      <x:c r="D350" t="str">
        <x:v>P004</x:v>
      </x:c>
      <x:c r="E350" t="n">
        <x:v>1</x:v>
      </x:c>
      <x:c r="F350" s="12" t="n">
        <x:v>0</x:v>
      </x:c>
      <x:c r="G350" t="str">
        <x:v>Retail</x:v>
      </x:c>
    </x:row>
    <x:row r="351" ht="15" hidden="0" customHeight="1">
      <x:c r="A351" t="str">
        <x:v>O0350</x:v>
      </x:c>
      <x:c r="B351" s="10" t="n">
        <x:v>45921</x:v>
      </x:c>
      <x:c r="C351" t="str">
        <x:v>C051</x:v>
      </x:c>
      <x:c r="D351" t="str">
        <x:v>P009</x:v>
      </x:c>
      <x:c r="E351" t="n">
        <x:v>4</x:v>
      </x:c>
      <x:c r="F351" s="12" t="n">
        <x:v>0</x:v>
      </x:c>
      <x:c r="G351" t="str">
        <x:v>Online</x:v>
      </x:c>
    </x:row>
    <x:row r="352" ht="15" hidden="0" customHeight="1">
      <x:c r="A352" t="str">
        <x:v>O0351</x:v>
      </x:c>
      <x:c r="B352" s="10" t="n">
        <x:v>45989</x:v>
      </x:c>
      <x:c r="C352" t="str">
        <x:v>C025</x:v>
      </x:c>
      <x:c r="D352" t="str">
        <x:v>P005</x:v>
      </x:c>
      <x:c r="E352" t="n">
        <x:v>3</x:v>
      </x:c>
      <x:c r="F352" s="12" t="n">
        <x:v>0</x:v>
      </x:c>
      <x:c r="G352" t="str">
        <x:v>Partner</x:v>
      </x:c>
    </x:row>
    <x:row r="353" ht="15" hidden="0" customHeight="1">
      <x:c r="A353" t="str">
        <x:v>O0352</x:v>
      </x:c>
      <x:c r="B353" s="10" t="n">
        <x:v>45827</x:v>
      </x:c>
      <x:c r="C353" t="str">
        <x:v>C035</x:v>
      </x:c>
      <x:c r="D353" t="str">
        <x:v>P002</x:v>
      </x:c>
      <x:c r="E353" t="n">
        <x:v>3</x:v>
      </x:c>
      <x:c r="F353" s="12" t="n">
        <x:v>0.05</x:v>
      </x:c>
      <x:c r="G353" t="str">
        <x:v>Retail</x:v>
      </x:c>
    </x:row>
    <x:row r="354" ht="15" hidden="0" customHeight="1">
      <x:c r="A354" t="str">
        <x:v>O0353</x:v>
      </x:c>
      <x:c r="B354" s="10" t="n">
        <x:v>45883</x:v>
      </x:c>
      <x:c r="C354" t="str">
        <x:v>C050</x:v>
      </x:c>
      <x:c r="D354" t="str">
        <x:v>P006</x:v>
      </x:c>
      <x:c r="E354" t="n">
        <x:v>2</x:v>
      </x:c>
      <x:c r="F354" s="12" t="n">
        <x:v>0.05</x:v>
      </x:c>
      <x:c r="G354" t="str">
        <x:v>Partner</x:v>
      </x:c>
    </x:row>
    <x:row r="355" ht="15" hidden="0" customHeight="1">
      <x:c r="A355" t="str">
        <x:v>O0354</x:v>
      </x:c>
      <x:c r="B355" s="10" t="n">
        <x:v>45912</x:v>
      </x:c>
      <x:c r="C355" t="str">
        <x:v>C048</x:v>
      </x:c>
      <x:c r="D355" t="str">
        <x:v>P009</x:v>
      </x:c>
      <x:c r="E355" t="n">
        <x:v>3</x:v>
      </x:c>
      <x:c r="F355" s="12" t="n">
        <x:v>0</x:v>
      </x:c>
      <x:c r="G355" t="str">
        <x:v>Partner</x:v>
      </x:c>
    </x:row>
    <x:row r="356" ht="15" hidden="0" customHeight="1">
      <x:c r="A356" t="str">
        <x:v>O0355</x:v>
      </x:c>
      <x:c r="B356" s="10" t="n">
        <x:v>45875</x:v>
      </x:c>
      <x:c r="C356" t="str">
        <x:v>C011</x:v>
      </x:c>
      <x:c r="D356" t="str">
        <x:v>P007</x:v>
      </x:c>
      <x:c r="E356" t="n">
        <x:v>5</x:v>
      </x:c>
      <x:c r="F356" s="12" t="n">
        <x:v>0</x:v>
      </x:c>
      <x:c r="G356" t="str">
        <x:v>Partner</x:v>
      </x:c>
    </x:row>
    <x:row r="357" ht="15" hidden="0" customHeight="1">
      <x:c r="A357" t="str">
        <x:v>O0356</x:v>
      </x:c>
      <x:c r="B357" s="10" t="n">
        <x:v>45808</x:v>
      </x:c>
      <x:c r="C357" t="str">
        <x:v>C042</x:v>
      </x:c>
      <x:c r="D357" t="str">
        <x:v>P002</x:v>
      </x:c>
      <x:c r="E357" t="n">
        <x:v>1</x:v>
      </x:c>
      <x:c r="F357" s="12" t="n">
        <x:v>0</x:v>
      </x:c>
      <x:c r="G357" t="str">
        <x:v>Partner</x:v>
      </x:c>
    </x:row>
    <x:row r="358" ht="15" hidden="0" customHeight="1">
      <x:c r="A358" t="str">
        <x:v>O0357</x:v>
      </x:c>
      <x:c r="B358" s="10" t="n">
        <x:v>45809</x:v>
      </x:c>
      <x:c r="C358" t="str">
        <x:v>C040</x:v>
      </x:c>
      <x:c r="D358" t="str">
        <x:v>P008</x:v>
      </x:c>
      <x:c r="E358" t="n">
        <x:v>5</x:v>
      </x:c>
      <x:c r="F358" s="12" t="n">
        <x:v>0.15</x:v>
      </x:c>
      <x:c r="G358" t="str">
        <x:v>Retail</x:v>
      </x:c>
    </x:row>
    <x:row r="359" ht="15" hidden="0" customHeight="1">
      <x:c r="A359" t="str">
        <x:v>O0358</x:v>
      </x:c>
      <x:c r="B359" s="10" t="n">
        <x:v>45743</x:v>
      </x:c>
      <x:c r="C359" t="str">
        <x:v>C057</x:v>
      </x:c>
      <x:c r="D359" t="str">
        <x:v>P006</x:v>
      </x:c>
      <x:c r="E359" t="n">
        <x:v>4</x:v>
      </x:c>
      <x:c r="F359" s="12" t="n">
        <x:v>0</x:v>
      </x:c>
      <x:c r="G359" t="str">
        <x:v>Partner</x:v>
      </x:c>
    </x:row>
    <x:row r="360" ht="15" hidden="0" customHeight="1">
      <x:c r="A360" t="str">
        <x:v>O0359</x:v>
      </x:c>
      <x:c r="B360" s="10" t="n">
        <x:v>45838</x:v>
      </x:c>
      <x:c r="C360" t="str">
        <x:v>C079</x:v>
      </x:c>
      <x:c r="D360" t="str">
        <x:v>P007</x:v>
      </x:c>
      <x:c r="E360" t="n">
        <x:v>3</x:v>
      </x:c>
      <x:c r="F360" s="12" t="n">
        <x:v>0.15</x:v>
      </x:c>
      <x:c r="G360" t="str">
        <x:v>Online</x:v>
      </x:c>
    </x:row>
    <x:row r="361" ht="15" hidden="0" customHeight="1">
      <x:c r="A361" t="str">
        <x:v>O0360</x:v>
      </x:c>
      <x:c r="B361" s="10" t="n">
        <x:v>45696</x:v>
      </x:c>
      <x:c r="C361" t="str">
        <x:v>C052</x:v>
      </x:c>
      <x:c r="D361" t="str">
        <x:v>P006</x:v>
      </x:c>
      <x:c r="E361" t="n">
        <x:v>5</x:v>
      </x:c>
      <x:c r="F361" s="12" t="n">
        <x:v>0.15</x:v>
      </x:c>
      <x:c r="G361" t="str">
        <x:v>Partner</x:v>
      </x:c>
    </x:row>
    <x:row r="362" ht="15" hidden="0" customHeight="1">
      <x:c r="A362" t="str">
        <x:v>O0361</x:v>
      </x:c>
      <x:c r="B362" s="10" t="n">
        <x:v>45739</x:v>
      </x:c>
      <x:c r="C362" t="str">
        <x:v>C004</x:v>
      </x:c>
      <x:c r="D362" t="str">
        <x:v>P003</x:v>
      </x:c>
      <x:c r="E362" t="n">
        <x:v>5</x:v>
      </x:c>
      <x:c r="F362" s="12" t="n">
        <x:v>0.15</x:v>
      </x:c>
      <x:c r="G362" t="str">
        <x:v>Retail</x:v>
      </x:c>
    </x:row>
    <x:row r="363" ht="15" hidden="0" customHeight="1">
      <x:c r="A363" t="str">
        <x:v>O0362</x:v>
      </x:c>
      <x:c r="B363" s="10" t="n">
        <x:v>45675</x:v>
      </x:c>
      <x:c r="C363" t="str">
        <x:v>C017</x:v>
      </x:c>
      <x:c r="D363" t="str">
        <x:v>P002</x:v>
      </x:c>
      <x:c r="E363" t="n">
        <x:v>2</x:v>
      </x:c>
      <x:c r="F363" s="12" t="n">
        <x:v>0.15</x:v>
      </x:c>
      <x:c r="G363" t="str">
        <x:v>Retail</x:v>
      </x:c>
    </x:row>
    <x:row r="364" ht="15" hidden="0" customHeight="1">
      <x:c r="A364" t="str">
        <x:v>O0363</x:v>
      </x:c>
      <x:c r="B364" s="10" t="n">
        <x:v>45843</x:v>
      </x:c>
      <x:c r="C364" t="str">
        <x:v>C050</x:v>
      </x:c>
      <x:c r="D364" t="str">
        <x:v>P010</x:v>
      </x:c>
      <x:c r="E364" t="n">
        <x:v>1</x:v>
      </x:c>
      <x:c r="F364" s="12" t="n">
        <x:v>0.1</x:v>
      </x:c>
      <x:c r="G364" t="str">
        <x:v>Online</x:v>
      </x:c>
    </x:row>
    <x:row r="365" ht="15" hidden="0" customHeight="1">
      <x:c r="A365" t="str">
        <x:v>O0364</x:v>
      </x:c>
      <x:c r="B365" s="10" t="n">
        <x:v>46005</x:v>
      </x:c>
      <x:c r="C365" t="str">
        <x:v>C058</x:v>
      </x:c>
      <x:c r="D365" t="str">
        <x:v>P006</x:v>
      </x:c>
      <x:c r="E365" t="n">
        <x:v>3</x:v>
      </x:c>
      <x:c r="F365" s="12" t="n">
        <x:v>0.05</x:v>
      </x:c>
      <x:c r="G365" t="str">
        <x:v>Online</x:v>
      </x:c>
    </x:row>
    <x:row r="366" ht="15" hidden="0" customHeight="1">
      <x:c r="A366" t="str">
        <x:v>O0365</x:v>
      </x:c>
      <x:c r="B366" s="10" t="n">
        <x:v>45951</x:v>
      </x:c>
      <x:c r="C366" t="str">
        <x:v>C018</x:v>
      </x:c>
      <x:c r="D366" t="str">
        <x:v>P009</x:v>
      </x:c>
      <x:c r="E366" t="n">
        <x:v>3</x:v>
      </x:c>
      <x:c r="F366" s="12" t="n">
        <x:v>0.05</x:v>
      </x:c>
      <x:c r="G366" t="str">
        <x:v>Retail</x:v>
      </x:c>
    </x:row>
    <x:row r="367" ht="15" hidden="0" customHeight="1">
      <x:c r="A367" t="str">
        <x:v>O0366</x:v>
      </x:c>
      <x:c r="B367" s="10" t="n">
        <x:v>45990</x:v>
      </x:c>
      <x:c r="C367" t="str">
        <x:v>C036</x:v>
      </x:c>
      <x:c r="D367" t="str">
        <x:v>P004</x:v>
      </x:c>
      <x:c r="E367" t="n">
        <x:v>1</x:v>
      </x:c>
      <x:c r="F367" s="12" t="n">
        <x:v>0</x:v>
      </x:c>
      <x:c r="G367" t="str">
        <x:v>Partner</x:v>
      </x:c>
    </x:row>
    <x:row r="368" ht="15" hidden="0" customHeight="1">
      <x:c r="A368" t="str">
        <x:v>O0367</x:v>
      </x:c>
      <x:c r="B368" s="10" t="n">
        <x:v>45753</x:v>
      </x:c>
      <x:c r="C368" t="str">
        <x:v>C064</x:v>
      </x:c>
      <x:c r="D368" t="str">
        <x:v>P009</x:v>
      </x:c>
      <x:c r="E368" t="n">
        <x:v>4</x:v>
      </x:c>
      <x:c r="F368" s="12" t="n">
        <x:v>0.1</x:v>
      </x:c>
      <x:c r="G368" t="str">
        <x:v>Online</x:v>
      </x:c>
    </x:row>
    <x:row r="369" ht="15" hidden="0" customHeight="1">
      <x:c r="A369" t="str">
        <x:v>O0368</x:v>
      </x:c>
      <x:c r="B369" s="10" t="n">
        <x:v>45792</x:v>
      </x:c>
      <x:c r="C369" t="str">
        <x:v>C034</x:v>
      </x:c>
      <x:c r="D369" t="str">
        <x:v>P012</x:v>
      </x:c>
      <x:c r="E369" t="n">
        <x:v>4</x:v>
      </x:c>
      <x:c r="F369" s="12" t="n">
        <x:v>0</x:v>
      </x:c>
      <x:c r="G369" t="str">
        <x:v>Partner</x:v>
      </x:c>
    </x:row>
    <x:row r="370" ht="15" hidden="0" customHeight="1">
      <x:c r="A370" t="str">
        <x:v>O0369</x:v>
      </x:c>
      <x:c r="B370" s="10" t="n">
        <x:v>45804</x:v>
      </x:c>
      <x:c r="C370" t="str">
        <x:v>C063</x:v>
      </x:c>
      <x:c r="D370" t="str">
        <x:v>P004</x:v>
      </x:c>
      <x:c r="E370" t="n">
        <x:v>1</x:v>
      </x:c>
      <x:c r="F370" s="12" t="n">
        <x:v>0</x:v>
      </x:c>
      <x:c r="G370" t="str">
        <x:v>Online</x:v>
      </x:c>
    </x:row>
    <x:row r="371" ht="15" hidden="0" customHeight="1">
      <x:c r="A371" t="str">
        <x:v>O0370</x:v>
      </x:c>
      <x:c r="B371" s="10" t="n">
        <x:v>45889</x:v>
      </x:c>
      <x:c r="C371" t="str">
        <x:v>C023</x:v>
      </x:c>
      <x:c r="D371" t="str">
        <x:v>P012</x:v>
      </x:c>
      <x:c r="E371" t="n">
        <x:v>4</x:v>
      </x:c>
      <x:c r="F371" s="12" t="n">
        <x:v>0</x:v>
      </x:c>
      <x:c r="G371" t="str">
        <x:v>Partner</x:v>
      </x:c>
    </x:row>
    <x:row r="372" ht="15" hidden="0" customHeight="1">
      <x:c r="A372" t="str">
        <x:v>O0371</x:v>
      </x:c>
      <x:c r="B372" s="10" t="n">
        <x:v>45821</x:v>
      </x:c>
      <x:c r="C372" t="str">
        <x:v>C045</x:v>
      </x:c>
      <x:c r="D372" t="str">
        <x:v>P012</x:v>
      </x:c>
      <x:c r="E372" t="n">
        <x:v>1</x:v>
      </x:c>
      <x:c r="F372" s="12" t="n">
        <x:v>0.1</x:v>
      </x:c>
      <x:c r="G372" t="str">
        <x:v>Partner</x:v>
      </x:c>
    </x:row>
    <x:row r="373" ht="15" hidden="0" customHeight="1">
      <x:c r="A373" t="str">
        <x:v>O0372</x:v>
      </x:c>
      <x:c r="B373" s="10" t="n">
        <x:v>45806</x:v>
      </x:c>
      <x:c r="C373" t="str">
        <x:v>C039</x:v>
      </x:c>
      <x:c r="D373" t="str">
        <x:v>P003</x:v>
      </x:c>
      <x:c r="E373" t="n">
        <x:v>6</x:v>
      </x:c>
      <x:c r="F373" s="12" t="n">
        <x:v>0.15</x:v>
      </x:c>
      <x:c r="G373" t="str">
        <x:v>Partner</x:v>
      </x:c>
    </x:row>
    <x:row r="374" ht="15" hidden="0" customHeight="1">
      <x:c r="A374" t="str">
        <x:v>O0373</x:v>
      </x:c>
      <x:c r="B374" s="10" t="n">
        <x:v>45984</x:v>
      </x:c>
      <x:c r="C374" t="str">
        <x:v>C023</x:v>
      </x:c>
      <x:c r="D374" t="str">
        <x:v>P006</x:v>
      </x:c>
      <x:c r="E374" t="n">
        <x:v>5</x:v>
      </x:c>
      <x:c r="F374" s="12" t="n">
        <x:v>0</x:v>
      </x:c>
      <x:c r="G374" t="str">
        <x:v>Online</x:v>
      </x:c>
    </x:row>
    <x:row r="375" ht="15" hidden="0" customHeight="1">
      <x:c r="A375" t="str">
        <x:v>O0374</x:v>
      </x:c>
      <x:c r="B375" s="10" t="n">
        <x:v>45760</x:v>
      </x:c>
      <x:c r="C375" t="str">
        <x:v>C018</x:v>
      </x:c>
      <x:c r="D375" t="str">
        <x:v>P004</x:v>
      </x:c>
      <x:c r="E375" t="n">
        <x:v>4</x:v>
      </x:c>
      <x:c r="F375" s="12" t="n">
        <x:v>0</x:v>
      </x:c>
      <x:c r="G375" t="str">
        <x:v>Retail</x:v>
      </x:c>
    </x:row>
    <x:row r="376" ht="15" hidden="0" customHeight="1">
      <x:c r="A376" t="str">
        <x:v>O0375</x:v>
      </x:c>
      <x:c r="B376" s="10" t="n">
        <x:v>45941</x:v>
      </x:c>
      <x:c r="C376" t="str">
        <x:v>C074</x:v>
      </x:c>
      <x:c r="D376" t="str">
        <x:v>P006</x:v>
      </x:c>
      <x:c r="E376" t="n">
        <x:v>4</x:v>
      </x:c>
      <x:c r="F376" s="12" t="n">
        <x:v>0.1</x:v>
      </x:c>
      <x:c r="G376" t="str">
        <x:v>Online</x:v>
      </x:c>
    </x:row>
    <x:row r="377" ht="15" hidden="0" customHeight="1">
      <x:c r="A377" t="str">
        <x:v>O0376</x:v>
      </x:c>
      <x:c r="B377" s="10" t="n">
        <x:v>45971</x:v>
      </x:c>
      <x:c r="C377" t="str">
        <x:v>C012</x:v>
      </x:c>
      <x:c r="D377" t="str">
        <x:v>P002</x:v>
      </x:c>
      <x:c r="E377" t="n">
        <x:v>3</x:v>
      </x:c>
      <x:c r="F377" s="12" t="n">
        <x:v>0.05</x:v>
      </x:c>
      <x:c r="G377" t="str">
        <x:v>Partner</x:v>
      </x:c>
    </x:row>
    <x:row r="378" ht="15" hidden="0" customHeight="1">
      <x:c r="A378" t="str">
        <x:v>O0377</x:v>
      </x:c>
      <x:c r="B378" s="10" t="n">
        <x:v>45903</x:v>
      </x:c>
      <x:c r="C378" t="str">
        <x:v>C068</x:v>
      </x:c>
      <x:c r="D378" t="str">
        <x:v>P007</x:v>
      </x:c>
      <x:c r="E378" t="n">
        <x:v>4</x:v>
      </x:c>
      <x:c r="F378" s="12" t="n">
        <x:v>0.1</x:v>
      </x:c>
      <x:c r="G378" t="str">
        <x:v>Online</x:v>
      </x:c>
    </x:row>
    <x:row r="379" ht="15" hidden="0" customHeight="1">
      <x:c r="A379" t="str">
        <x:v>O0378</x:v>
      </x:c>
      <x:c r="B379" s="10" t="n">
        <x:v>45722</x:v>
      </x:c>
      <x:c r="C379" t="str">
        <x:v>C041</x:v>
      </x:c>
      <x:c r="D379" t="str">
        <x:v>P011</x:v>
      </x:c>
      <x:c r="E379" t="n">
        <x:v>1</x:v>
      </x:c>
      <x:c r="F379" s="12" t="n">
        <x:v>0.05</x:v>
      </x:c>
      <x:c r="G379" t="str">
        <x:v>Retail</x:v>
      </x:c>
    </x:row>
    <x:row r="380" ht="15" hidden="0" customHeight="1">
      <x:c r="A380" t="str">
        <x:v>O0379</x:v>
      </x:c>
      <x:c r="B380" s="10" t="n">
        <x:v>46006</x:v>
      </x:c>
      <x:c r="C380" t="str">
        <x:v>C067</x:v>
      </x:c>
      <x:c r="D380" t="str">
        <x:v>P006</x:v>
      </x:c>
      <x:c r="E380" t="n">
        <x:v>2</x:v>
      </x:c>
      <x:c r="F380" s="12" t="n">
        <x:v>0.1</x:v>
      </x:c>
      <x:c r="G380" t="str">
        <x:v>Partner</x:v>
      </x:c>
    </x:row>
    <x:row r="381" ht="15" hidden="0" customHeight="1">
      <x:c r="A381" t="str">
        <x:v>O0380</x:v>
      </x:c>
      <x:c r="B381" s="10" t="n">
        <x:v>45958</x:v>
      </x:c>
      <x:c r="C381" t="str">
        <x:v>C024</x:v>
      </x:c>
      <x:c r="D381" t="str">
        <x:v>P003</x:v>
      </x:c>
      <x:c r="E381" t="n">
        <x:v>4</x:v>
      </x:c>
      <x:c r="F381" s="12" t="n">
        <x:v>0.1</x:v>
      </x:c>
      <x:c r="G381" t="str">
        <x:v>Online</x:v>
      </x:c>
    </x:row>
    <x:row r="382" ht="15" hidden="0" customHeight="1">
      <x:c r="A382" t="str">
        <x:v>O0381</x:v>
      </x:c>
      <x:c r="B382" s="10" t="n">
        <x:v>45721</x:v>
      </x:c>
      <x:c r="C382" t="str">
        <x:v>C067</x:v>
      </x:c>
      <x:c r="D382" t="str">
        <x:v>P003</x:v>
      </x:c>
      <x:c r="E382" t="n">
        <x:v>3</x:v>
      </x:c>
      <x:c r="F382" s="12" t="n">
        <x:v>0</x:v>
      </x:c>
      <x:c r="G382" t="str">
        <x:v>Online</x:v>
      </x:c>
    </x:row>
    <x:row r="383" ht="15" hidden="0" customHeight="1">
      <x:c r="A383" t="str">
        <x:v>O0382</x:v>
      </x:c>
      <x:c r="B383" s="10" t="n">
        <x:v>45823</x:v>
      </x:c>
      <x:c r="C383" t="str">
        <x:v>C029</x:v>
      </x:c>
      <x:c r="D383" t="str">
        <x:v>P006</x:v>
      </x:c>
      <x:c r="E383" t="n">
        <x:v>5</x:v>
      </x:c>
      <x:c r="F383" s="12" t="n">
        <x:v>0</x:v>
      </x:c>
      <x:c r="G383" t="str">
        <x:v>Online</x:v>
      </x:c>
    </x:row>
    <x:row r="384" ht="15" hidden="0" customHeight="1">
      <x:c r="A384" t="str">
        <x:v>O0383</x:v>
      </x:c>
      <x:c r="B384" s="10" t="n">
        <x:v>45786</x:v>
      </x:c>
      <x:c r="C384" t="str">
        <x:v>C026</x:v>
      </x:c>
      <x:c r="D384" t="str">
        <x:v>P011</x:v>
      </x:c>
      <x:c r="E384" t="n">
        <x:v>5</x:v>
      </x:c>
      <x:c r="F384" s="12" t="n">
        <x:v>0</x:v>
      </x:c>
      <x:c r="G384" t="str">
        <x:v>Online</x:v>
      </x:c>
    </x:row>
    <x:row r="385" ht="15" hidden="0" customHeight="1">
      <x:c r="A385" t="str">
        <x:v>O0384</x:v>
      </x:c>
      <x:c r="B385" s="10" t="n">
        <x:v>45978</x:v>
      </x:c>
      <x:c r="C385" t="str">
        <x:v>C039</x:v>
      </x:c>
      <x:c r="D385" t="str">
        <x:v>P010</x:v>
      </x:c>
      <x:c r="E385" t="n">
        <x:v>5</x:v>
      </x:c>
      <x:c r="F385" s="12" t="n">
        <x:v>0</x:v>
      </x:c>
      <x:c r="G385" t="str">
        <x:v>Partner</x:v>
      </x:c>
    </x:row>
    <x:row r="386" ht="15" hidden="0" customHeight="1">
      <x:c r="A386" t="str">
        <x:v>O0385</x:v>
      </x:c>
      <x:c r="B386" s="10" t="n">
        <x:v>45986</x:v>
      </x:c>
      <x:c r="C386" t="str">
        <x:v>C022</x:v>
      </x:c>
      <x:c r="D386" t="str">
        <x:v>P010</x:v>
      </x:c>
      <x:c r="E386" t="n">
        <x:v>5</x:v>
      </x:c>
      <x:c r="F386" s="12" t="n">
        <x:v>0</x:v>
      </x:c>
      <x:c r="G386" t="str">
        <x:v>Online</x:v>
      </x:c>
    </x:row>
    <x:row r="387" ht="15" hidden="0" customHeight="1">
      <x:c r="A387" t="str">
        <x:v>O0386</x:v>
      </x:c>
      <x:c r="B387" s="10" t="n">
        <x:v>45995</x:v>
      </x:c>
      <x:c r="C387" t="str">
        <x:v>C080</x:v>
      </x:c>
      <x:c r="D387" t="str">
        <x:v>P012</x:v>
      </x:c>
      <x:c r="E387" t="n">
        <x:v>5</x:v>
      </x:c>
      <x:c r="F387" s="12" t="n">
        <x:v>0</x:v>
      </x:c>
      <x:c r="G387" t="str">
        <x:v>Partner</x:v>
      </x:c>
    </x:row>
    <x:row r="388" ht="15" hidden="0" customHeight="1">
      <x:c r="A388" t="str">
        <x:v>O0387</x:v>
      </x:c>
      <x:c r="B388" s="10" t="n">
        <x:v>45679</x:v>
      </x:c>
      <x:c r="C388" t="str">
        <x:v>C004</x:v>
      </x:c>
      <x:c r="D388" t="str">
        <x:v>P002</x:v>
      </x:c>
      <x:c r="E388" t="n">
        <x:v>1</x:v>
      </x:c>
      <x:c r="F388" s="12" t="n">
        <x:v>0.15</x:v>
      </x:c>
      <x:c r="G388" t="str">
        <x:v>Partner</x:v>
      </x:c>
    </x:row>
    <x:row r="389" ht="15" hidden="0" customHeight="1">
      <x:c r="A389" t="str">
        <x:v>O0388</x:v>
      </x:c>
      <x:c r="B389" s="10" t="n">
        <x:v>45793</x:v>
      </x:c>
      <x:c r="C389" t="str">
        <x:v>C027</x:v>
      </x:c>
      <x:c r="D389" t="str">
        <x:v>P010</x:v>
      </x:c>
      <x:c r="E389" t="n">
        <x:v>4</x:v>
      </x:c>
      <x:c r="F389" s="12" t="n">
        <x:v>0.1</x:v>
      </x:c>
      <x:c r="G389" t="str">
        <x:v>Partner</x:v>
      </x:c>
    </x:row>
    <x:row r="390" ht="15" hidden="0" customHeight="1">
      <x:c r="A390" t="str">
        <x:v>O0389</x:v>
      </x:c>
      <x:c r="B390" s="10" t="n">
        <x:v>45673</x:v>
      </x:c>
      <x:c r="C390" t="str">
        <x:v>C064</x:v>
      </x:c>
      <x:c r="D390" t="str">
        <x:v>P011</x:v>
      </x:c>
      <x:c r="E390" t="n">
        <x:v>5</x:v>
      </x:c>
      <x:c r="F390" s="12" t="n">
        <x:v>0</x:v>
      </x:c>
      <x:c r="G390" t="str">
        <x:v>Partner</x:v>
      </x:c>
    </x:row>
    <x:row r="391" ht="15" hidden="0" customHeight="1">
      <x:c r="A391" t="str">
        <x:v>O0390</x:v>
      </x:c>
      <x:c r="B391" s="10" t="n">
        <x:v>45812</x:v>
      </x:c>
      <x:c r="C391" t="str">
        <x:v>C062</x:v>
      </x:c>
      <x:c r="D391" t="str">
        <x:v>P004</x:v>
      </x:c>
      <x:c r="E391" t="n">
        <x:v>6</x:v>
      </x:c>
      <x:c r="F391" s="12" t="n">
        <x:v>0.05</x:v>
      </x:c>
      <x:c r="G391" t="str">
        <x:v>Retail</x:v>
      </x:c>
    </x:row>
    <x:row r="392" ht="15" hidden="0" customHeight="1">
      <x:c r="A392" t="str">
        <x:v>O0391</x:v>
      </x:c>
      <x:c r="B392" s="10" t="n">
        <x:v>45890</x:v>
      </x:c>
      <x:c r="C392" t="str">
        <x:v>C010</x:v>
      </x:c>
      <x:c r="D392" t="str">
        <x:v>P012</x:v>
      </x:c>
      <x:c r="E392" t="n">
        <x:v>1</x:v>
      </x:c>
      <x:c r="F392" s="12" t="n">
        <x:v>0</x:v>
      </x:c>
      <x:c r="G392" t="str">
        <x:v>Retail</x:v>
      </x:c>
    </x:row>
    <x:row r="393" ht="15" hidden="0" customHeight="1">
      <x:c r="A393" t="str">
        <x:v>O0392</x:v>
      </x:c>
      <x:c r="B393" s="10" t="n">
        <x:v>45870</x:v>
      </x:c>
      <x:c r="C393" t="str">
        <x:v>C062</x:v>
      </x:c>
      <x:c r="D393" t="str">
        <x:v>P008</x:v>
      </x:c>
      <x:c r="E393" t="n">
        <x:v>2</x:v>
      </x:c>
      <x:c r="F393" s="12" t="n">
        <x:v>0</x:v>
      </x:c>
      <x:c r="G393" t="str">
        <x:v>Partner</x:v>
      </x:c>
    </x:row>
    <x:row r="394" ht="15" hidden="0" customHeight="1">
      <x:c r="A394" t="str">
        <x:v>O0393</x:v>
      </x:c>
      <x:c r="B394" s="10" t="n">
        <x:v>45731</x:v>
      </x:c>
      <x:c r="C394" t="str">
        <x:v>C041</x:v>
      </x:c>
      <x:c r="D394" t="str">
        <x:v>P012</x:v>
      </x:c>
      <x:c r="E394" t="n">
        <x:v>3</x:v>
      </x:c>
      <x:c r="F394" s="12" t="n">
        <x:v>0.15</x:v>
      </x:c>
      <x:c r="G394" t="str">
        <x:v>Retail</x:v>
      </x:c>
    </x:row>
    <x:row r="395" ht="15" hidden="0" customHeight="1">
      <x:c r="A395" t="str">
        <x:v>O0394</x:v>
      </x:c>
      <x:c r="B395" s="10" t="n">
        <x:v>45862</x:v>
      </x:c>
      <x:c r="C395" t="str">
        <x:v>C017</x:v>
      </x:c>
      <x:c r="D395" t="str">
        <x:v>P006</x:v>
      </x:c>
      <x:c r="E395" t="n">
        <x:v>5</x:v>
      </x:c>
      <x:c r="F395" s="12" t="n">
        <x:v>0.1</x:v>
      </x:c>
      <x:c r="G395" t="str">
        <x:v>Online</x:v>
      </x:c>
    </x:row>
    <x:row r="396" ht="15" hidden="0" customHeight="1">
      <x:c r="A396" t="str">
        <x:v>O0395</x:v>
      </x:c>
      <x:c r="B396" s="10" t="n">
        <x:v>45821</x:v>
      </x:c>
      <x:c r="C396" t="str">
        <x:v>C031</x:v>
      </x:c>
      <x:c r="D396" t="str">
        <x:v>P008</x:v>
      </x:c>
      <x:c r="E396" t="n">
        <x:v>1</x:v>
      </x:c>
      <x:c r="F396" s="12" t="n">
        <x:v>0</x:v>
      </x:c>
      <x:c r="G396" t="str">
        <x:v>Retail</x:v>
      </x:c>
    </x:row>
    <x:row r="397" ht="15" hidden="0" customHeight="1">
      <x:c r="A397" t="str">
        <x:v>O0396</x:v>
      </x:c>
      <x:c r="B397" s="10" t="n">
        <x:v>45784</x:v>
      </x:c>
      <x:c r="C397" t="str">
        <x:v>C019</x:v>
      </x:c>
      <x:c r="D397" t="str">
        <x:v>P002</x:v>
      </x:c>
      <x:c r="E397" t="n">
        <x:v>1</x:v>
      </x:c>
      <x:c r="F397" s="12" t="n">
        <x:v>0</x:v>
      </x:c>
      <x:c r="G397" t="str">
        <x:v>Retail</x:v>
      </x:c>
    </x:row>
    <x:row r="398" ht="15" hidden="0" customHeight="1">
      <x:c r="A398" t="str">
        <x:v>O0397</x:v>
      </x:c>
      <x:c r="B398" s="10" t="n">
        <x:v>45973</x:v>
      </x:c>
      <x:c r="C398" t="str">
        <x:v>C054</x:v>
      </x:c>
      <x:c r="D398" t="str">
        <x:v>P004</x:v>
      </x:c>
      <x:c r="E398" t="n">
        <x:v>2</x:v>
      </x:c>
      <x:c r="F398" s="12" t="n">
        <x:v>0</x:v>
      </x:c>
      <x:c r="G398" t="str">
        <x:v>Partner</x:v>
      </x:c>
    </x:row>
    <x:row r="399" ht="15" hidden="0" customHeight="1">
      <x:c r="A399" t="str">
        <x:v>O0398</x:v>
      </x:c>
      <x:c r="B399" s="10" t="n">
        <x:v>45818</x:v>
      </x:c>
      <x:c r="C399" t="str">
        <x:v>C025</x:v>
      </x:c>
      <x:c r="D399" t="str">
        <x:v>P003</x:v>
      </x:c>
      <x:c r="E399" t="n">
        <x:v>4</x:v>
      </x:c>
      <x:c r="F399" s="12" t="n">
        <x:v>0.1</x:v>
      </x:c>
      <x:c r="G399" t="str">
        <x:v>Retail</x:v>
      </x:c>
    </x:row>
    <x:row r="400" ht="15" hidden="0" customHeight="1">
      <x:c r="A400" t="str">
        <x:v>O0399</x:v>
      </x:c>
      <x:c r="B400" s="10" t="n">
        <x:v>45913</x:v>
      </x:c>
      <x:c r="C400" t="str">
        <x:v>C040</x:v>
      </x:c>
      <x:c r="D400" t="str">
        <x:v>P008</x:v>
      </x:c>
      <x:c r="E400" t="n">
        <x:v>1</x:v>
      </x:c>
      <x:c r="F400" s="12" t="n">
        <x:v>0</x:v>
      </x:c>
      <x:c r="G400" t="str">
        <x:v>Retail</x:v>
      </x:c>
    </x:row>
    <x:row r="401" ht="15" hidden="0" customHeight="1">
      <x:c r="A401" t="str">
        <x:v>O0400</x:v>
      </x:c>
      <x:c r="B401" s="10" t="n">
        <x:v>45916</x:v>
      </x:c>
      <x:c r="C401" t="str">
        <x:v>C059</x:v>
      </x:c>
      <x:c r="D401" t="str">
        <x:v>P004</x:v>
      </x:c>
      <x:c r="E401" t="n">
        <x:v>2</x:v>
      </x:c>
      <x:c r="F401" s="12" t="n">
        <x:v>0.1</x:v>
      </x:c>
      <x:c r="G401" t="str">
        <x:v>Retail</x:v>
      </x:c>
    </x:row>
    <x:row r="402" ht="15" hidden="0" customHeight="1">
      <x:c r="A402" t="str">
        <x:v>O0401</x:v>
      </x:c>
      <x:c r="B402" s="10" t="n">
        <x:v>45682</x:v>
      </x:c>
      <x:c r="C402" t="str">
        <x:v>C007</x:v>
      </x:c>
      <x:c r="D402" t="str">
        <x:v>P005</x:v>
      </x:c>
      <x:c r="E402" t="n">
        <x:v>4</x:v>
      </x:c>
      <x:c r="F402" s="12" t="n">
        <x:v>0.1</x:v>
      </x:c>
      <x:c r="G402" t="str">
        <x:v>Partner</x:v>
      </x:c>
    </x:row>
    <x:row r="403" ht="15" hidden="0" customHeight="1">
      <x:c r="A403" t="str">
        <x:v>O0402</x:v>
      </x:c>
      <x:c r="B403" s="10" t="n">
        <x:v>46002</x:v>
      </x:c>
      <x:c r="C403" t="str">
        <x:v>C061</x:v>
      </x:c>
      <x:c r="D403" t="str">
        <x:v>P005</x:v>
      </x:c>
      <x:c r="E403" t="n">
        <x:v>5</x:v>
      </x:c>
      <x:c r="F403" s="12" t="n">
        <x:v>0</x:v>
      </x:c>
      <x:c r="G403" t="str">
        <x:v>Online</x:v>
      </x:c>
    </x:row>
    <x:row r="404" ht="15" hidden="0" customHeight="1">
      <x:c r="A404" t="str">
        <x:v>O0403</x:v>
      </x:c>
      <x:c r="B404" s="10" t="n">
        <x:v>45878</x:v>
      </x:c>
      <x:c r="C404" t="str">
        <x:v>C018</x:v>
      </x:c>
      <x:c r="D404" t="str">
        <x:v>P005</x:v>
      </x:c>
      <x:c r="E404" t="n">
        <x:v>6</x:v>
      </x:c>
      <x:c r="F404" s="12" t="n">
        <x:v>0</x:v>
      </x:c>
      <x:c r="G404" t="str">
        <x:v>Retail</x:v>
      </x:c>
    </x:row>
    <x:row r="405" ht="15" hidden="0" customHeight="1">
      <x:c r="A405" t="str">
        <x:v>O0404</x:v>
      </x:c>
      <x:c r="B405" s="10" t="n">
        <x:v>45845</x:v>
      </x:c>
      <x:c r="C405" t="str">
        <x:v>C006</x:v>
      </x:c>
      <x:c r="D405" t="str">
        <x:v>P007</x:v>
      </x:c>
      <x:c r="E405" t="n">
        <x:v>1</x:v>
      </x:c>
      <x:c r="F405" s="12" t="n">
        <x:v>0.1</x:v>
      </x:c>
      <x:c r="G405" t="str">
        <x:v>Partner</x:v>
      </x:c>
    </x:row>
    <x:row r="406" ht="15" hidden="0" customHeight="1">
      <x:c r="A406" t="str">
        <x:v>O0405</x:v>
      </x:c>
      <x:c r="B406" s="10" t="n">
        <x:v>45757</x:v>
      </x:c>
      <x:c r="C406" t="str">
        <x:v>C047</x:v>
      </x:c>
      <x:c r="D406" t="str">
        <x:v>P009</x:v>
      </x:c>
      <x:c r="E406" t="n">
        <x:v>3</x:v>
      </x:c>
      <x:c r="F406" s="12" t="n">
        <x:v>0</x:v>
      </x:c>
      <x:c r="G406" t="str">
        <x:v>Retail</x:v>
      </x:c>
    </x:row>
    <x:row r="407" ht="15" hidden="0" customHeight="1">
      <x:c r="A407" t="str">
        <x:v>O0406</x:v>
      </x:c>
      <x:c r="B407" s="10" t="n">
        <x:v>45916</x:v>
      </x:c>
      <x:c r="C407" t="str">
        <x:v>C058</x:v>
      </x:c>
      <x:c r="D407" t="str">
        <x:v>P009</x:v>
      </x:c>
      <x:c r="E407" t="n">
        <x:v>3</x:v>
      </x:c>
      <x:c r="F407" s="12" t="n">
        <x:v>0.1</x:v>
      </x:c>
      <x:c r="G407" t="str">
        <x:v>Partner</x:v>
      </x:c>
    </x:row>
    <x:row r="408" ht="15" hidden="0" customHeight="1">
      <x:c r="A408" t="str">
        <x:v>O0407</x:v>
      </x:c>
      <x:c r="B408" s="10" t="n">
        <x:v>45970</x:v>
      </x:c>
      <x:c r="C408" t="str">
        <x:v>C016</x:v>
      </x:c>
      <x:c r="D408" t="str">
        <x:v>P003</x:v>
      </x:c>
      <x:c r="E408" t="n">
        <x:v>1</x:v>
      </x:c>
      <x:c r="F408" s="12" t="n">
        <x:v>0.05</x:v>
      </x:c>
      <x:c r="G408" t="str">
        <x:v>Retail</x:v>
      </x:c>
    </x:row>
    <x:row r="409" ht="15" hidden="0" customHeight="1">
      <x:c r="A409" t="str">
        <x:v>O0408</x:v>
      </x:c>
      <x:c r="B409" s="10" t="n">
        <x:v>45831</x:v>
      </x:c>
      <x:c r="C409" t="str">
        <x:v>C072</x:v>
      </x:c>
      <x:c r="D409" t="str">
        <x:v>P006</x:v>
      </x:c>
      <x:c r="E409" t="n">
        <x:v>2</x:v>
      </x:c>
      <x:c r="F409" s="12" t="n">
        <x:v>0</x:v>
      </x:c>
      <x:c r="G409" t="str">
        <x:v>Partner</x:v>
      </x:c>
    </x:row>
    <x:row r="410" ht="15" hidden="0" customHeight="1">
      <x:c r="A410" t="str">
        <x:v>O0409</x:v>
      </x:c>
      <x:c r="B410" s="10" t="n">
        <x:v>45918</x:v>
      </x:c>
      <x:c r="C410" t="str">
        <x:v>C052</x:v>
      </x:c>
      <x:c r="D410" t="str">
        <x:v>P009</x:v>
      </x:c>
      <x:c r="E410" t="n">
        <x:v>1</x:v>
      </x:c>
      <x:c r="F410" s="12" t="n">
        <x:v>0</x:v>
      </x:c>
      <x:c r="G410" t="str">
        <x:v>Online</x:v>
      </x:c>
    </x:row>
    <x:row r="411" ht="15" hidden="0" customHeight="1">
      <x:c r="A411" t="str">
        <x:v>O0410</x:v>
      </x:c>
      <x:c r="B411" s="10" t="n">
        <x:v>45728</x:v>
      </x:c>
      <x:c r="C411" t="str">
        <x:v>C043</x:v>
      </x:c>
      <x:c r="D411" t="str">
        <x:v>P008</x:v>
      </x:c>
      <x:c r="E411" t="n">
        <x:v>5</x:v>
      </x:c>
      <x:c r="F411" s="12" t="n">
        <x:v>0.05</x:v>
      </x:c>
      <x:c r="G411" t="str">
        <x:v>Online</x:v>
      </x:c>
    </x:row>
    <x:row r="412" ht="15" hidden="0" customHeight="1">
      <x:c r="A412" t="str">
        <x:v>O0411</x:v>
      </x:c>
      <x:c r="B412" s="10" t="n">
        <x:v>45968</x:v>
      </x:c>
      <x:c r="C412" t="str">
        <x:v>C066</x:v>
      </x:c>
      <x:c r="D412" t="str">
        <x:v>P003</x:v>
      </x:c>
      <x:c r="E412" t="n">
        <x:v>3</x:v>
      </x:c>
      <x:c r="F412" s="12" t="n">
        <x:v>0.1</x:v>
      </x:c>
      <x:c r="G412" t="str">
        <x:v>Retail</x:v>
      </x:c>
    </x:row>
    <x:row r="413" ht="15" hidden="0" customHeight="1">
      <x:c r="A413" t="str">
        <x:v>O0412</x:v>
      </x:c>
      <x:c r="B413" s="10" t="n">
        <x:v>45741</x:v>
      </x:c>
      <x:c r="C413" t="str">
        <x:v>C051</x:v>
      </x:c>
      <x:c r="D413" t="str">
        <x:v>P010</x:v>
      </x:c>
      <x:c r="E413" t="n">
        <x:v>6</x:v>
      </x:c>
      <x:c r="F413" s="12" t="n">
        <x:v>0</x:v>
      </x:c>
      <x:c r="G413" t="str">
        <x:v>Partner</x:v>
      </x:c>
    </x:row>
    <x:row r="414" ht="15" hidden="0" customHeight="1">
      <x:c r="A414" t="str">
        <x:v>O0413</x:v>
      </x:c>
      <x:c r="B414" s="10" t="n">
        <x:v>45830</x:v>
      </x:c>
      <x:c r="C414" t="str">
        <x:v>C065</x:v>
      </x:c>
      <x:c r="D414" t="str">
        <x:v>P009</x:v>
      </x:c>
      <x:c r="E414" t="n">
        <x:v>5</x:v>
      </x:c>
      <x:c r="F414" s="12" t="n">
        <x:v>0.05</x:v>
      </x:c>
      <x:c r="G414" t="str">
        <x:v>Partner</x:v>
      </x:c>
    </x:row>
    <x:row r="415" ht="15" hidden="0" customHeight="1">
      <x:c r="A415" t="str">
        <x:v>O0414</x:v>
      </x:c>
      <x:c r="B415" s="10" t="n">
        <x:v>45946</x:v>
      </x:c>
      <x:c r="C415" t="str">
        <x:v>C039</x:v>
      </x:c>
      <x:c r="D415" t="str">
        <x:v>P008</x:v>
      </x:c>
      <x:c r="E415" t="n">
        <x:v>1</x:v>
      </x:c>
      <x:c r="F415" s="12" t="n">
        <x:v>0</x:v>
      </x:c>
      <x:c r="G415" t="str">
        <x:v>Retail</x:v>
      </x:c>
    </x:row>
    <x:row r="416" ht="15" hidden="0" customHeight="1">
      <x:c r="A416" t="str">
        <x:v>O0415</x:v>
      </x:c>
      <x:c r="B416" s="10" t="n">
        <x:v>46002</x:v>
      </x:c>
      <x:c r="C416" t="str">
        <x:v>C015</x:v>
      </x:c>
      <x:c r="D416" t="str">
        <x:v>P007</x:v>
      </x:c>
      <x:c r="E416" t="n">
        <x:v>5</x:v>
      </x:c>
      <x:c r="F416" s="12" t="n">
        <x:v>0</x:v>
      </x:c>
      <x:c r="G416" t="str">
        <x:v>Partner</x:v>
      </x:c>
    </x:row>
    <x:row r="417" ht="15" hidden="0" customHeight="1">
      <x:c r="A417" t="str">
        <x:v>O0416</x:v>
      </x:c>
      <x:c r="B417" s="10" t="n">
        <x:v>46010</x:v>
      </x:c>
      <x:c r="C417" t="str">
        <x:v>C004</x:v>
      </x:c>
      <x:c r="D417" t="str">
        <x:v>P010</x:v>
      </x:c>
      <x:c r="E417" t="n">
        <x:v>4</x:v>
      </x:c>
      <x:c r="F417" s="12" t="n">
        <x:v>0</x:v>
      </x:c>
      <x:c r="G417" t="str">
        <x:v>Partner</x:v>
      </x:c>
    </x:row>
    <x:row r="418" ht="15" hidden="0" customHeight="1">
      <x:c r="A418" t="str">
        <x:v>O0417</x:v>
      </x:c>
      <x:c r="B418" s="10" t="n">
        <x:v>45954</x:v>
      </x:c>
      <x:c r="C418" t="str">
        <x:v>C074</x:v>
      </x:c>
      <x:c r="D418" t="str">
        <x:v>P004</x:v>
      </x:c>
      <x:c r="E418" t="n">
        <x:v>6</x:v>
      </x:c>
      <x:c r="F418" s="12" t="n">
        <x:v>0</x:v>
      </x:c>
      <x:c r="G418" t="str">
        <x:v>Partner</x:v>
      </x:c>
    </x:row>
    <x:row r="419" ht="15" hidden="0" customHeight="1">
      <x:c r="A419" t="str">
        <x:v>O0418</x:v>
      </x:c>
      <x:c r="B419" s="10" t="n">
        <x:v>45903</x:v>
      </x:c>
      <x:c r="C419" t="str">
        <x:v>C022</x:v>
      </x:c>
      <x:c r="D419" t="str">
        <x:v>P009</x:v>
      </x:c>
      <x:c r="E419" t="n">
        <x:v>6</x:v>
      </x:c>
      <x:c r="F419" s="12" t="n">
        <x:v>0.15</x:v>
      </x:c>
      <x:c r="G419" t="str">
        <x:v>Partner</x:v>
      </x:c>
    </x:row>
    <x:row r="420" ht="15" hidden="0" customHeight="1">
      <x:c r="A420" t="str">
        <x:v>O0419</x:v>
      </x:c>
      <x:c r="B420" s="10" t="n">
        <x:v>45852</x:v>
      </x:c>
      <x:c r="C420" t="str">
        <x:v>C019</x:v>
      </x:c>
      <x:c r="D420" t="str">
        <x:v>P011</x:v>
      </x:c>
      <x:c r="E420" t="n">
        <x:v>2</x:v>
      </x:c>
      <x:c r="F420" s="12" t="n">
        <x:v>0</x:v>
      </x:c>
      <x:c r="G420" t="str">
        <x:v>Partner</x:v>
      </x:c>
    </x:row>
    <x:row r="421" ht="15" hidden="0" customHeight="1">
      <x:c r="A421" t="str">
        <x:v>O0420</x:v>
      </x:c>
      <x:c r="B421" s="10" t="n">
        <x:v>46016</x:v>
      </x:c>
      <x:c r="C421" t="str">
        <x:v>C015</x:v>
      </x:c>
      <x:c r="D421" t="str">
        <x:v>P004</x:v>
      </x:c>
      <x:c r="E421" t="n">
        <x:v>1</x:v>
      </x:c>
      <x:c r="F421" s="12" t="n">
        <x:v>0.05</x:v>
      </x:c>
      <x:c r="G421" t="str">
        <x:v>Retail</x:v>
      </x:c>
    </x:row>
    <x:row r="422" ht="15" hidden="0" customHeight="1">
      <x:c r="A422" t="str">
        <x:v>O0421</x:v>
      </x:c>
      <x:c r="B422" s="10" t="n">
        <x:v>45872</x:v>
      </x:c>
      <x:c r="C422" t="str">
        <x:v>C020</x:v>
      </x:c>
      <x:c r="D422" t="str">
        <x:v>P007</x:v>
      </x:c>
      <x:c r="E422" t="n">
        <x:v>6</x:v>
      </x:c>
      <x:c r="F422" s="12" t="n">
        <x:v>0</x:v>
      </x:c>
      <x:c r="G422" t="str">
        <x:v>Retail</x:v>
      </x:c>
    </x:row>
    <x:row r="423" ht="15" hidden="0" customHeight="1">
      <x:c r="A423" t="str">
        <x:v>O0422</x:v>
      </x:c>
      <x:c r="B423" s="10" t="n">
        <x:v>45914</x:v>
      </x:c>
      <x:c r="C423" t="str">
        <x:v>C079</x:v>
      </x:c>
      <x:c r="D423" t="str">
        <x:v>P008</x:v>
      </x:c>
      <x:c r="E423" t="n">
        <x:v>6</x:v>
      </x:c>
      <x:c r="F423" s="12" t="n">
        <x:v>0.15</x:v>
      </x:c>
      <x:c r="G423" t="str">
        <x:v>Online</x:v>
      </x:c>
    </x:row>
    <x:row r="424" ht="15" hidden="0" customHeight="1">
      <x:c r="A424" t="str">
        <x:v>O0423</x:v>
      </x:c>
      <x:c r="B424" s="10" t="n">
        <x:v>46019</x:v>
      </x:c>
      <x:c r="C424" t="str">
        <x:v>C018</x:v>
      </x:c>
      <x:c r="D424" t="str">
        <x:v>P009</x:v>
      </x:c>
      <x:c r="E424" t="n">
        <x:v>2</x:v>
      </x:c>
      <x:c r="F424" s="12" t="n">
        <x:v>0.1</x:v>
      </x:c>
      <x:c r="G424" t="str">
        <x:v>Retail</x:v>
      </x:c>
    </x:row>
    <x:row r="425" ht="15" hidden="0" customHeight="1">
      <x:c r="A425" t="str">
        <x:v>O0424</x:v>
      </x:c>
      <x:c r="B425" s="10" t="n">
        <x:v>45997</x:v>
      </x:c>
      <x:c r="C425" t="str">
        <x:v>C062</x:v>
      </x:c>
      <x:c r="D425" t="str">
        <x:v>P009</x:v>
      </x:c>
      <x:c r="E425" t="n">
        <x:v>4</x:v>
      </x:c>
      <x:c r="F425" s="12" t="n">
        <x:v>0</x:v>
      </x:c>
      <x:c r="G425" t="str">
        <x:v>Online</x:v>
      </x:c>
    </x:row>
    <x:row r="426" ht="15" hidden="0" customHeight="1">
      <x:c r="A426" t="str">
        <x:v>O0425</x:v>
      </x:c>
      <x:c r="B426" s="10" t="n">
        <x:v>45893</x:v>
      </x:c>
      <x:c r="C426" t="str">
        <x:v>C069</x:v>
      </x:c>
      <x:c r="D426" t="str">
        <x:v>P006</x:v>
      </x:c>
      <x:c r="E426" t="n">
        <x:v>5</x:v>
      </x:c>
      <x:c r="F426" s="12" t="n">
        <x:v>0</x:v>
      </x:c>
      <x:c r="G426" t="str">
        <x:v>Partner</x:v>
      </x:c>
    </x:row>
    <x:row r="427" ht="15" hidden="0" customHeight="1">
      <x:c r="A427" t="str">
        <x:v>O0426</x:v>
      </x:c>
      <x:c r="B427" s="10" t="n">
        <x:v>46006</x:v>
      </x:c>
      <x:c r="C427" t="str">
        <x:v>C034</x:v>
      </x:c>
      <x:c r="D427" t="str">
        <x:v>P010</x:v>
      </x:c>
      <x:c r="E427" t="n">
        <x:v>4</x:v>
      </x:c>
      <x:c r="F427" s="12" t="n">
        <x:v>0</x:v>
      </x:c>
      <x:c r="G427" t="str">
        <x:v>Online</x:v>
      </x:c>
    </x:row>
    <x:row r="428" ht="15" hidden="0" customHeight="1">
      <x:c r="A428" t="str">
        <x:v>O0427</x:v>
      </x:c>
      <x:c r="B428" s="10" t="n">
        <x:v>45800</x:v>
      </x:c>
      <x:c r="C428" t="str">
        <x:v>C072</x:v>
      </x:c>
      <x:c r="D428" t="str">
        <x:v>P005</x:v>
      </x:c>
      <x:c r="E428" t="n">
        <x:v>2</x:v>
      </x:c>
      <x:c r="F428" s="12" t="n">
        <x:v>0</x:v>
      </x:c>
      <x:c r="G428" t="str">
        <x:v>Retail</x:v>
      </x:c>
    </x:row>
    <x:row r="429" ht="15" hidden="0" customHeight="1">
      <x:c r="A429" t="str">
        <x:v>O0428</x:v>
      </x:c>
      <x:c r="B429" s="10" t="n">
        <x:v>46018</x:v>
      </x:c>
      <x:c r="C429" t="str">
        <x:v>C027</x:v>
      </x:c>
      <x:c r="D429" t="str">
        <x:v>P012</x:v>
      </x:c>
      <x:c r="E429" t="n">
        <x:v>6</x:v>
      </x:c>
      <x:c r="F429" s="12" t="n">
        <x:v>0.05</x:v>
      </x:c>
      <x:c r="G429" t="str">
        <x:v>Retail</x:v>
      </x:c>
    </x:row>
    <x:row r="430" ht="15" hidden="0" customHeight="1">
      <x:c r="A430" t="str">
        <x:v>O0429</x:v>
      </x:c>
      <x:c r="B430" s="10" t="n">
        <x:v>45903</x:v>
      </x:c>
      <x:c r="C430" t="str">
        <x:v>C045</x:v>
      </x:c>
      <x:c r="D430" t="str">
        <x:v>P009</x:v>
      </x:c>
      <x:c r="E430" t="n">
        <x:v>6</x:v>
      </x:c>
      <x:c r="F430" s="12" t="n">
        <x:v>0</x:v>
      </x:c>
      <x:c r="G430" t="str">
        <x:v>Retail</x:v>
      </x:c>
    </x:row>
    <x:row r="431" ht="15" hidden="0" customHeight="1">
      <x:c r="A431" t="str">
        <x:v>O0430</x:v>
      </x:c>
      <x:c r="B431" s="10" t="n">
        <x:v>45720</x:v>
      </x:c>
      <x:c r="C431" t="str">
        <x:v>C074</x:v>
      </x:c>
      <x:c r="D431" t="str">
        <x:v>P011</x:v>
      </x:c>
      <x:c r="E431" t="n">
        <x:v>5</x:v>
      </x:c>
      <x:c r="F431" s="12" t="n">
        <x:v>0.05</x:v>
      </x:c>
      <x:c r="G431" t="str">
        <x:v>Retail</x:v>
      </x:c>
    </x:row>
    <x:row r="432" ht="15" hidden="0" customHeight="1">
      <x:c r="A432" t="str">
        <x:v>O0431</x:v>
      </x:c>
      <x:c r="B432" s="10" t="n">
        <x:v>45834</x:v>
      </x:c>
      <x:c r="C432" t="str">
        <x:v>C019</x:v>
      </x:c>
      <x:c r="D432" t="str">
        <x:v>P005</x:v>
      </x:c>
      <x:c r="E432" t="n">
        <x:v>1</x:v>
      </x:c>
      <x:c r="F432" s="12" t="n">
        <x:v>0</x:v>
      </x:c>
      <x:c r="G432" t="str">
        <x:v>Partner</x:v>
      </x:c>
    </x:row>
    <x:row r="433" ht="15" hidden="0" customHeight="1">
      <x:c r="A433" t="str">
        <x:v>O0432</x:v>
      </x:c>
      <x:c r="B433" s="10" t="n">
        <x:v>45698</x:v>
      </x:c>
      <x:c r="C433" t="str">
        <x:v>C045</x:v>
      </x:c>
      <x:c r="D433" t="str">
        <x:v>P008</x:v>
      </x:c>
      <x:c r="E433" t="n">
        <x:v>6</x:v>
      </x:c>
      <x:c r="F433" s="12" t="n">
        <x:v>0</x:v>
      </x:c>
      <x:c r="G433" t="str">
        <x:v>Partner</x:v>
      </x:c>
    </x:row>
    <x:row r="434" ht="15" hidden="0" customHeight="1">
      <x:c r="A434" t="str">
        <x:v>O0433</x:v>
      </x:c>
      <x:c r="B434" s="10" t="n">
        <x:v>45903</x:v>
      </x:c>
      <x:c r="C434" t="str">
        <x:v>C028</x:v>
      </x:c>
      <x:c r="D434" t="str">
        <x:v>P004</x:v>
      </x:c>
      <x:c r="E434" t="n">
        <x:v>5</x:v>
      </x:c>
      <x:c r="F434" s="12" t="n">
        <x:v>0</x:v>
      </x:c>
      <x:c r="G434" t="str">
        <x:v>Partner</x:v>
      </x:c>
    </x:row>
    <x:row r="435" ht="15" hidden="0" customHeight="1">
      <x:c r="A435" t="str">
        <x:v>O0434</x:v>
      </x:c>
      <x:c r="B435" s="10" t="n">
        <x:v>46014</x:v>
      </x:c>
      <x:c r="C435" t="str">
        <x:v>C035</x:v>
      </x:c>
      <x:c r="D435" t="str">
        <x:v>P003</x:v>
      </x:c>
      <x:c r="E435" t="n">
        <x:v>1</x:v>
      </x:c>
      <x:c r="F435" s="12" t="n">
        <x:v>0.1</x:v>
      </x:c>
      <x:c r="G435" t="str">
        <x:v>Partner</x:v>
      </x:c>
    </x:row>
    <x:row r="436" ht="15" hidden="0" customHeight="1">
      <x:c r="A436" t="str">
        <x:v>O0435</x:v>
      </x:c>
      <x:c r="B436" s="10" t="n">
        <x:v>45958</x:v>
      </x:c>
      <x:c r="C436" t="str">
        <x:v>C031</x:v>
      </x:c>
      <x:c r="D436" t="str">
        <x:v>P004</x:v>
      </x:c>
      <x:c r="E436" t="n">
        <x:v>1</x:v>
      </x:c>
      <x:c r="F436" s="12" t="n">
        <x:v>0.15</x:v>
      </x:c>
      <x:c r="G436" t="str">
        <x:v>Partner</x:v>
      </x:c>
    </x:row>
    <x:row r="437" ht="15" hidden="0" customHeight="1">
      <x:c r="A437" t="str">
        <x:v>O0436</x:v>
      </x:c>
      <x:c r="B437" s="10" t="n">
        <x:v>45773</x:v>
      </x:c>
      <x:c r="C437" t="str">
        <x:v>C030</x:v>
      </x:c>
      <x:c r="D437" t="str">
        <x:v>P001</x:v>
      </x:c>
      <x:c r="E437" t="n">
        <x:v>1</x:v>
      </x:c>
      <x:c r="F437" s="12" t="n">
        <x:v>0.05</x:v>
      </x:c>
      <x:c r="G437" t="str">
        <x:v>Retail</x:v>
      </x:c>
    </x:row>
    <x:row r="438" ht="15" hidden="0" customHeight="1">
      <x:c r="A438" t="str">
        <x:v>O0437</x:v>
      </x:c>
      <x:c r="B438" s="10" t="n">
        <x:v>45899</x:v>
      </x:c>
      <x:c r="C438" t="str">
        <x:v>C013</x:v>
      </x:c>
      <x:c r="D438" t="str">
        <x:v>P011</x:v>
      </x:c>
      <x:c r="E438" t="n">
        <x:v>2</x:v>
      </x:c>
      <x:c r="F438" s="12" t="n">
        <x:v>0</x:v>
      </x:c>
      <x:c r="G438" t="str">
        <x:v>Partner</x:v>
      </x:c>
    </x:row>
    <x:row r="439" ht="15" hidden="0" customHeight="1">
      <x:c r="A439" t="str">
        <x:v>O0438</x:v>
      </x:c>
      <x:c r="B439" s="10" t="n">
        <x:v>45738</x:v>
      </x:c>
      <x:c r="C439" t="str">
        <x:v>C053</x:v>
      </x:c>
      <x:c r="D439" t="str">
        <x:v>P011</x:v>
      </x:c>
      <x:c r="E439" t="n">
        <x:v>4</x:v>
      </x:c>
      <x:c r="F439" s="12" t="n">
        <x:v>0.05</x:v>
      </x:c>
      <x:c r="G439" t="str">
        <x:v>Partner</x:v>
      </x:c>
    </x:row>
    <x:row r="440" ht="15" hidden="0" customHeight="1">
      <x:c r="A440" t="str">
        <x:v>O0439</x:v>
      </x:c>
      <x:c r="B440" s="10" t="n">
        <x:v>45760</x:v>
      </x:c>
      <x:c r="C440" t="str">
        <x:v>C037</x:v>
      </x:c>
      <x:c r="D440" t="str">
        <x:v>P006</x:v>
      </x:c>
      <x:c r="E440" t="n">
        <x:v>3</x:v>
      </x:c>
      <x:c r="F440" s="12" t="n">
        <x:v>0.15</x:v>
      </x:c>
      <x:c r="G440" t="str">
        <x:v>Online</x:v>
      </x:c>
    </x:row>
    <x:row r="441" ht="15" hidden="0" customHeight="1">
      <x:c r="A441" t="str">
        <x:v>O0440</x:v>
      </x:c>
      <x:c r="B441" s="10" t="n">
        <x:v>45703</x:v>
      </x:c>
      <x:c r="C441" t="str">
        <x:v>C074</x:v>
      </x:c>
      <x:c r="D441" t="str">
        <x:v>P004</x:v>
      </x:c>
      <x:c r="E441" t="n">
        <x:v>5</x:v>
      </x:c>
      <x:c r="F441" s="12" t="n">
        <x:v>0.15</x:v>
      </x:c>
      <x:c r="G441" t="str">
        <x:v>Partner</x:v>
      </x:c>
    </x:row>
    <x:row r="442" ht="15" hidden="0" customHeight="1">
      <x:c r="A442" t="str">
        <x:v>O0441</x:v>
      </x:c>
      <x:c r="B442" s="10" t="n">
        <x:v>45677</x:v>
      </x:c>
      <x:c r="C442" t="str">
        <x:v>C023</x:v>
      </x:c>
      <x:c r="D442" t="str">
        <x:v>P007</x:v>
      </x:c>
      <x:c r="E442" t="n">
        <x:v>2</x:v>
      </x:c>
      <x:c r="F442" s="12" t="n">
        <x:v>0</x:v>
      </x:c>
      <x:c r="G442" t="str">
        <x:v>Retail</x:v>
      </x:c>
    </x:row>
    <x:row r="443" ht="15" hidden="0" customHeight="1">
      <x:c r="A443" t="str">
        <x:v>O0442</x:v>
      </x:c>
      <x:c r="B443" s="10" t="n">
        <x:v>45911</x:v>
      </x:c>
      <x:c r="C443" t="str">
        <x:v>C024</x:v>
      </x:c>
      <x:c r="D443" t="str">
        <x:v>P012</x:v>
      </x:c>
      <x:c r="E443" t="n">
        <x:v>3</x:v>
      </x:c>
      <x:c r="F443" s="12" t="n">
        <x:v>0</x:v>
      </x:c>
      <x:c r="G443" t="str">
        <x:v>Online</x:v>
      </x:c>
    </x:row>
    <x:row r="444" ht="15" hidden="0" customHeight="1">
      <x:c r="A444" t="str">
        <x:v>O0443</x:v>
      </x:c>
      <x:c r="B444" s="10" t="n">
        <x:v>45810</x:v>
      </x:c>
      <x:c r="C444" t="str">
        <x:v>C073</x:v>
      </x:c>
      <x:c r="D444" t="str">
        <x:v>P010</x:v>
      </x:c>
      <x:c r="E444" t="n">
        <x:v>1</x:v>
      </x:c>
      <x:c r="F444" s="12" t="n">
        <x:v>0</x:v>
      </x:c>
      <x:c r="G444" t="str">
        <x:v>Retail</x:v>
      </x:c>
    </x:row>
    <x:row r="445" ht="15" hidden="0" customHeight="1">
      <x:c r="A445" t="str">
        <x:v>O0444</x:v>
      </x:c>
      <x:c r="B445" s="10" t="n">
        <x:v>45890</x:v>
      </x:c>
      <x:c r="C445" t="str">
        <x:v>C070</x:v>
      </x:c>
      <x:c r="D445" t="str">
        <x:v>P009</x:v>
      </x:c>
      <x:c r="E445" t="n">
        <x:v>4</x:v>
      </x:c>
      <x:c r="F445" s="12" t="n">
        <x:v>0</x:v>
      </x:c>
      <x:c r="G445" t="str">
        <x:v>Partner</x:v>
      </x:c>
    </x:row>
    <x:row r="446" ht="15" hidden="0" customHeight="1">
      <x:c r="A446" t="str">
        <x:v>O0445</x:v>
      </x:c>
      <x:c r="B446" s="10" t="n">
        <x:v>45897</x:v>
      </x:c>
      <x:c r="C446" t="str">
        <x:v>C035</x:v>
      </x:c>
      <x:c r="D446" t="str">
        <x:v>P004</x:v>
      </x:c>
      <x:c r="E446" t="n">
        <x:v>1</x:v>
      </x:c>
      <x:c r="F446" s="12" t="n">
        <x:v>0</x:v>
      </x:c>
      <x:c r="G446" t="str">
        <x:v>Online</x:v>
      </x:c>
    </x:row>
    <x:row r="447" ht="15" hidden="0" customHeight="1">
      <x:c r="A447" t="str">
        <x:v>O0446</x:v>
      </x:c>
      <x:c r="B447" s="10" t="n">
        <x:v>45892</x:v>
      </x:c>
      <x:c r="C447" t="str">
        <x:v>C033</x:v>
      </x:c>
      <x:c r="D447" t="str">
        <x:v>P012</x:v>
      </x:c>
      <x:c r="E447" t="n">
        <x:v>2</x:v>
      </x:c>
      <x:c r="F447" s="12" t="n">
        <x:v>0</x:v>
      </x:c>
      <x:c r="G447" t="str">
        <x:v>Partner</x:v>
      </x:c>
    </x:row>
    <x:row r="448" ht="15" hidden="0" customHeight="1">
      <x:c r="A448" t="str">
        <x:v>O0447</x:v>
      </x:c>
      <x:c r="B448" s="10" t="n">
        <x:v>45830</x:v>
      </x:c>
      <x:c r="C448" t="str">
        <x:v>C038</x:v>
      </x:c>
      <x:c r="D448" t="str">
        <x:v>P010</x:v>
      </x:c>
      <x:c r="E448" t="n">
        <x:v>6</x:v>
      </x:c>
      <x:c r="F448" s="12" t="n">
        <x:v>0</x:v>
      </x:c>
      <x:c r="G448" t="str">
        <x:v>Online</x:v>
      </x:c>
    </x:row>
    <x:row r="449" ht="15" hidden="0" customHeight="1">
      <x:c r="A449" t="str">
        <x:v>O0448</x:v>
      </x:c>
      <x:c r="B449" s="10" t="n">
        <x:v>45970</x:v>
      </x:c>
      <x:c r="C449" t="str">
        <x:v>C052</x:v>
      </x:c>
      <x:c r="D449" t="str">
        <x:v>P007</x:v>
      </x:c>
      <x:c r="E449" t="n">
        <x:v>5</x:v>
      </x:c>
      <x:c r="F449" s="12" t="n">
        <x:v>0</x:v>
      </x:c>
      <x:c r="G449" t="str">
        <x:v>Online</x:v>
      </x:c>
    </x:row>
    <x:row r="450" ht="15" hidden="0" customHeight="1">
      <x:c r="A450" t="str">
        <x:v>O0449</x:v>
      </x:c>
      <x:c r="B450" s="10" t="n">
        <x:v>45863</x:v>
      </x:c>
      <x:c r="C450" t="str">
        <x:v>C013</x:v>
      </x:c>
      <x:c r="D450" t="str">
        <x:v>P003</x:v>
      </x:c>
      <x:c r="E450" t="n">
        <x:v>2</x:v>
      </x:c>
      <x:c r="F450" s="12" t="n">
        <x:v>0.05</x:v>
      </x:c>
      <x:c r="G450" t="str">
        <x:v>Retail</x:v>
      </x:c>
    </x:row>
    <x:row r="451" ht="15" hidden="0" customHeight="1">
      <x:c r="A451" t="str">
        <x:v>O0450</x:v>
      </x:c>
      <x:c r="B451" s="10" t="n">
        <x:v>45785</x:v>
      </x:c>
      <x:c r="C451" t="str">
        <x:v>C001</x:v>
      </x:c>
      <x:c r="D451" t="str">
        <x:v>P005</x:v>
      </x:c>
      <x:c r="E451" t="n">
        <x:v>4</x:v>
      </x:c>
      <x:c r="F451" s="12" t="n">
        <x:v>0</x:v>
      </x:c>
      <x:c r="G451" t="str">
        <x:v>Retail</x:v>
      </x:c>
    </x:row>
    <x:row r="452" ht="15" hidden="0" customHeight="1">
      <x:c r="A452" t="str">
        <x:v>O0451</x:v>
      </x:c>
      <x:c r="B452" s="10" t="n">
        <x:v>45794</x:v>
      </x:c>
      <x:c r="C452" t="str">
        <x:v>C043</x:v>
      </x:c>
      <x:c r="D452" t="str">
        <x:v>P005</x:v>
      </x:c>
      <x:c r="E452" t="n">
        <x:v>5</x:v>
      </x:c>
      <x:c r="F452" s="12" t="n">
        <x:v>0.15</x:v>
      </x:c>
      <x:c r="G452" t="str">
        <x:v>Partner</x:v>
      </x:c>
    </x:row>
    <x:row r="453" ht="15" hidden="0" customHeight="1">
      <x:c r="A453" t="str">
        <x:v>O0452</x:v>
      </x:c>
      <x:c r="B453" s="10" t="n">
        <x:v>45663</x:v>
      </x:c>
      <x:c r="C453" t="str">
        <x:v>C034</x:v>
      </x:c>
      <x:c r="D453" t="str">
        <x:v>P011</x:v>
      </x:c>
      <x:c r="E453" t="n">
        <x:v>3</x:v>
      </x:c>
      <x:c r="F453" s="12" t="n">
        <x:v>0.15</x:v>
      </x:c>
      <x:c r="G453" t="str">
        <x:v>Online</x:v>
      </x:c>
    </x:row>
    <x:row r="454" ht="15" hidden="0" customHeight="1">
      <x:c r="A454" t="str">
        <x:v>O0453</x:v>
      </x:c>
      <x:c r="B454" s="10" t="n">
        <x:v>45689</x:v>
      </x:c>
      <x:c r="C454" t="str">
        <x:v>C016</x:v>
      </x:c>
      <x:c r="D454" t="str">
        <x:v>P008</x:v>
      </x:c>
      <x:c r="E454" t="n">
        <x:v>3</x:v>
      </x:c>
      <x:c r="F454" s="12" t="n">
        <x:v>0</x:v>
      </x:c>
      <x:c r="G454" t="str">
        <x:v>Retail</x:v>
      </x:c>
    </x:row>
    <x:row r="455" ht="15" hidden="0" customHeight="1">
      <x:c r="A455" t="str">
        <x:v>O0454</x:v>
      </x:c>
      <x:c r="B455" s="10" t="n">
        <x:v>46009</x:v>
      </x:c>
      <x:c r="C455" t="str">
        <x:v>C065</x:v>
      </x:c>
      <x:c r="D455" t="str">
        <x:v>P012</x:v>
      </x:c>
      <x:c r="E455" t="n">
        <x:v>3</x:v>
      </x:c>
      <x:c r="F455" s="12" t="n">
        <x:v>0.15</x:v>
      </x:c>
      <x:c r="G455" t="str">
        <x:v>Online</x:v>
      </x:c>
    </x:row>
    <x:row r="456" ht="15" hidden="0" customHeight="1">
      <x:c r="A456" t="str">
        <x:v>O0455</x:v>
      </x:c>
      <x:c r="B456" s="10" t="n">
        <x:v>45985</x:v>
      </x:c>
      <x:c r="C456" t="str">
        <x:v>C038</x:v>
      </x:c>
      <x:c r="D456" t="str">
        <x:v>P006</x:v>
      </x:c>
      <x:c r="E456" t="n">
        <x:v>5</x:v>
      </x:c>
      <x:c r="F456" s="12" t="n">
        <x:v>0</x:v>
      </x:c>
      <x:c r="G456" t="str">
        <x:v>Online</x:v>
      </x:c>
    </x:row>
    <x:row r="457" ht="15" hidden="0" customHeight="1">
      <x:c r="A457" t="str">
        <x:v>O0456</x:v>
      </x:c>
      <x:c r="B457" s="10" t="n">
        <x:v>45726</x:v>
      </x:c>
      <x:c r="C457" t="str">
        <x:v>C062</x:v>
      </x:c>
      <x:c r="D457" t="str">
        <x:v>P003</x:v>
      </x:c>
      <x:c r="E457" t="n">
        <x:v>4</x:v>
      </x:c>
      <x:c r="F457" s="12" t="n">
        <x:v>0.15</x:v>
      </x:c>
      <x:c r="G457" t="str">
        <x:v>Partner</x:v>
      </x:c>
    </x:row>
    <x:row r="458" ht="15" hidden="0" customHeight="1">
      <x:c r="A458" t="str">
        <x:v>O0457</x:v>
      </x:c>
      <x:c r="B458" s="10" t="n">
        <x:v>45849</x:v>
      </x:c>
      <x:c r="C458" t="str">
        <x:v>C054</x:v>
      </x:c>
      <x:c r="D458" t="str">
        <x:v>P012</x:v>
      </x:c>
      <x:c r="E458" t="n">
        <x:v>5</x:v>
      </x:c>
      <x:c r="F458" s="12" t="n">
        <x:v>0.05</x:v>
      </x:c>
      <x:c r="G458" t="str">
        <x:v>Partner</x:v>
      </x:c>
    </x:row>
    <x:row r="459" ht="15" hidden="0" customHeight="1">
      <x:c r="A459" t="str">
        <x:v>O0458</x:v>
      </x:c>
      <x:c r="B459" s="10" t="n">
        <x:v>45998</x:v>
      </x:c>
      <x:c r="C459" t="str">
        <x:v>C028</x:v>
      </x:c>
      <x:c r="D459" t="str">
        <x:v>P004</x:v>
      </x:c>
      <x:c r="E459" t="n">
        <x:v>6</x:v>
      </x:c>
      <x:c r="F459" s="12" t="n">
        <x:v>0.1</x:v>
      </x:c>
      <x:c r="G459" t="str">
        <x:v>Online</x:v>
      </x:c>
    </x:row>
    <x:row r="460" ht="15" hidden="0" customHeight="1">
      <x:c r="A460" t="str">
        <x:v>O0459</x:v>
      </x:c>
      <x:c r="B460" s="10" t="n">
        <x:v>45927</x:v>
      </x:c>
      <x:c r="C460" t="str">
        <x:v>C058</x:v>
      </x:c>
      <x:c r="D460" t="str">
        <x:v>P009</x:v>
      </x:c>
      <x:c r="E460" t="n">
        <x:v>6</x:v>
      </x:c>
      <x:c r="F460" s="12" t="n">
        <x:v>0</x:v>
      </x:c>
      <x:c r="G460" t="str">
        <x:v>Online</x:v>
      </x:c>
    </x:row>
    <x:row r="461" ht="15" hidden="0" customHeight="1">
      <x:c r="A461" t="str">
        <x:v>O0460</x:v>
      </x:c>
      <x:c r="B461" s="10" t="n">
        <x:v>45946</x:v>
      </x:c>
      <x:c r="C461" t="str">
        <x:v>C015</x:v>
      </x:c>
      <x:c r="D461" t="str">
        <x:v>P001</x:v>
      </x:c>
      <x:c r="E461" t="n">
        <x:v>5</x:v>
      </x:c>
      <x:c r="F461" s="12" t="n">
        <x:v>0.1</x:v>
      </x:c>
      <x:c r="G461" t="str">
        <x:v>Online</x:v>
      </x:c>
    </x:row>
    <x:row r="462" ht="15" hidden="0" customHeight="1">
      <x:c r="A462" t="str">
        <x:v>O0461</x:v>
      </x:c>
      <x:c r="B462" s="10" t="n">
        <x:v>45951</x:v>
      </x:c>
      <x:c r="C462" t="str">
        <x:v>C069</x:v>
      </x:c>
      <x:c r="D462" t="str">
        <x:v>P003</x:v>
      </x:c>
      <x:c r="E462" t="n">
        <x:v>2</x:v>
      </x:c>
      <x:c r="F462" s="12" t="n">
        <x:v>0</x:v>
      </x:c>
      <x:c r="G462" t="str">
        <x:v>Partner</x:v>
      </x:c>
    </x:row>
    <x:row r="463" ht="15" hidden="0" customHeight="1">
      <x:c r="A463" t="str">
        <x:v>O0462</x:v>
      </x:c>
      <x:c r="B463" s="10" t="n">
        <x:v>45884</x:v>
      </x:c>
      <x:c r="C463" t="str">
        <x:v>C015</x:v>
      </x:c>
      <x:c r="D463" t="str">
        <x:v>P011</x:v>
      </x:c>
      <x:c r="E463" t="n">
        <x:v>2</x:v>
      </x:c>
      <x:c r="F463" s="12" t="n">
        <x:v>0.15</x:v>
      </x:c>
      <x:c r="G463" t="str">
        <x:v>Partner</x:v>
      </x:c>
    </x:row>
    <x:row r="464" ht="15" hidden="0" customHeight="1">
      <x:c r="A464" t="str">
        <x:v>O0463</x:v>
      </x:c>
      <x:c r="B464" s="10" t="n">
        <x:v>45908</x:v>
      </x:c>
      <x:c r="C464" t="str">
        <x:v>C012</x:v>
      </x:c>
      <x:c r="D464" t="str">
        <x:v>P009</x:v>
      </x:c>
      <x:c r="E464" t="n">
        <x:v>4</x:v>
      </x:c>
      <x:c r="F464" s="12" t="n">
        <x:v>0</x:v>
      </x:c>
      <x:c r="G464" t="str">
        <x:v>Retail</x:v>
      </x:c>
    </x:row>
    <x:row r="465" ht="15" hidden="0" customHeight="1">
      <x:c r="A465" t="str">
        <x:v>O0464</x:v>
      </x:c>
      <x:c r="B465" s="10" t="n">
        <x:v>45725</x:v>
      </x:c>
      <x:c r="C465" t="str">
        <x:v>C066</x:v>
      </x:c>
      <x:c r="D465" t="str">
        <x:v>P007</x:v>
      </x:c>
      <x:c r="E465" t="n">
        <x:v>4</x:v>
      </x:c>
      <x:c r="F465" s="12" t="n">
        <x:v>0.1</x:v>
      </x:c>
      <x:c r="G465" t="str">
        <x:v>Online</x:v>
      </x:c>
    </x:row>
    <x:row r="466" ht="15" hidden="0" customHeight="1">
      <x:c r="A466" t="str">
        <x:v>O0465</x:v>
      </x:c>
      <x:c r="B466" s="10" t="n">
        <x:v>45944</x:v>
      </x:c>
      <x:c r="C466" t="str">
        <x:v>C060</x:v>
      </x:c>
      <x:c r="D466" t="str">
        <x:v>P011</x:v>
      </x:c>
      <x:c r="E466" t="n">
        <x:v>3</x:v>
      </x:c>
      <x:c r="F466" s="12" t="n">
        <x:v>0.15</x:v>
      </x:c>
      <x:c r="G466" t="str">
        <x:v>Online</x:v>
      </x:c>
    </x:row>
    <x:row r="467" ht="15" hidden="0" customHeight="1">
      <x:c r="A467" t="str">
        <x:v>O0466</x:v>
      </x:c>
      <x:c r="B467" s="10" t="n">
        <x:v>45860</x:v>
      </x:c>
      <x:c r="C467" t="str">
        <x:v>C033</x:v>
      </x:c>
      <x:c r="D467" t="str">
        <x:v>P001</x:v>
      </x:c>
      <x:c r="E467" t="n">
        <x:v>6</x:v>
      </x:c>
      <x:c r="F467" s="12" t="n">
        <x:v>0</x:v>
      </x:c>
      <x:c r="G467" t="str">
        <x:v>Partner</x:v>
      </x:c>
    </x:row>
    <x:row r="468" ht="15" hidden="0" customHeight="1">
      <x:c r="A468" t="str">
        <x:v>O0467</x:v>
      </x:c>
      <x:c r="B468" s="10" t="n">
        <x:v>45695</x:v>
      </x:c>
      <x:c r="C468" t="str">
        <x:v>C006</x:v>
      </x:c>
      <x:c r="D468" t="str">
        <x:v>P007</x:v>
      </x:c>
      <x:c r="E468" t="n">
        <x:v>3</x:v>
      </x:c>
      <x:c r="F468" s="12" t="n">
        <x:v>0.15</x:v>
      </x:c>
      <x:c r="G468" t="str">
        <x:v>Online</x:v>
      </x:c>
    </x:row>
    <x:row r="469" ht="15" hidden="0" customHeight="1">
      <x:c r="A469" t="str">
        <x:v>O0468</x:v>
      </x:c>
      <x:c r="B469" s="10" t="n">
        <x:v>45935</x:v>
      </x:c>
      <x:c r="C469" t="str">
        <x:v>C008</x:v>
      </x:c>
      <x:c r="D469" t="str">
        <x:v>P002</x:v>
      </x:c>
      <x:c r="E469" t="n">
        <x:v>4</x:v>
      </x:c>
      <x:c r="F469" s="12" t="n">
        <x:v>0</x:v>
      </x:c>
      <x:c r="G469" t="str">
        <x:v>Retail</x:v>
      </x:c>
    </x:row>
    <x:row r="470" ht="15" hidden="0" customHeight="1">
      <x:c r="A470" t="str">
        <x:v>O0469</x:v>
      </x:c>
      <x:c r="B470" s="10" t="n">
        <x:v>45867</x:v>
      </x:c>
      <x:c r="C470" t="str">
        <x:v>C024</x:v>
      </x:c>
      <x:c r="D470" t="str">
        <x:v>P003</x:v>
      </x:c>
      <x:c r="E470" t="n">
        <x:v>6</x:v>
      </x:c>
      <x:c r="F470" s="12" t="n">
        <x:v>0.15</x:v>
      </x:c>
      <x:c r="G470" t="str">
        <x:v>Partner</x:v>
      </x:c>
    </x:row>
    <x:row r="471" ht="15" hidden="0" customHeight="1">
      <x:c r="A471" t="str">
        <x:v>O0470</x:v>
      </x:c>
      <x:c r="B471" s="10" t="n">
        <x:v>45873</x:v>
      </x:c>
      <x:c r="C471" t="str">
        <x:v>C048</x:v>
      </x:c>
      <x:c r="D471" t="str">
        <x:v>P007</x:v>
      </x:c>
      <x:c r="E471" t="n">
        <x:v>4</x:v>
      </x:c>
      <x:c r="F471" s="12" t="n">
        <x:v>0.05</x:v>
      </x:c>
      <x:c r="G471" t="str">
        <x:v>Retail</x:v>
      </x:c>
    </x:row>
    <x:row r="472" ht="15" hidden="0" customHeight="1">
      <x:c r="A472" t="str">
        <x:v>O0471</x:v>
      </x:c>
      <x:c r="B472" s="10" t="n">
        <x:v>45699</x:v>
      </x:c>
      <x:c r="C472" t="str">
        <x:v>C070</x:v>
      </x:c>
      <x:c r="D472" t="str">
        <x:v>P003</x:v>
      </x:c>
      <x:c r="E472" t="n">
        <x:v>6</x:v>
      </x:c>
      <x:c r="F472" s="12" t="n">
        <x:v>0</x:v>
      </x:c>
      <x:c r="G472" t="str">
        <x:v>Online</x:v>
      </x:c>
    </x:row>
    <x:row r="473" ht="15" hidden="0" customHeight="1">
      <x:c r="A473" t="str">
        <x:v>O0472</x:v>
      </x:c>
      <x:c r="B473" s="10" t="n">
        <x:v>45749</x:v>
      </x:c>
      <x:c r="C473" t="str">
        <x:v>C069</x:v>
      </x:c>
      <x:c r="D473" t="str">
        <x:v>P007</x:v>
      </x:c>
      <x:c r="E473" t="n">
        <x:v>5</x:v>
      </x:c>
      <x:c r="F473" s="12" t="n">
        <x:v>0</x:v>
      </x:c>
      <x:c r="G473" t="str">
        <x:v>Partner</x:v>
      </x:c>
    </x:row>
    <x:row r="474" ht="15" hidden="0" customHeight="1">
      <x:c r="A474" t="str">
        <x:v>O0473</x:v>
      </x:c>
      <x:c r="B474" s="10" t="n">
        <x:v>45772</x:v>
      </x:c>
      <x:c r="C474" t="str">
        <x:v>C001</x:v>
      </x:c>
      <x:c r="D474" t="str">
        <x:v>P001</x:v>
      </x:c>
      <x:c r="E474" t="n">
        <x:v>3</x:v>
      </x:c>
      <x:c r="F474" s="12" t="n">
        <x:v>0.05</x:v>
      </x:c>
      <x:c r="G474" t="str">
        <x:v>Partner</x:v>
      </x:c>
    </x:row>
    <x:row r="475" ht="15" hidden="0" customHeight="1">
      <x:c r="A475" t="str">
        <x:v>O0474</x:v>
      </x:c>
      <x:c r="B475" s="10" t="n">
        <x:v>45936</x:v>
      </x:c>
      <x:c r="C475" t="str">
        <x:v>C055</x:v>
      </x:c>
      <x:c r="D475" t="str">
        <x:v>P009</x:v>
      </x:c>
      <x:c r="E475" t="n">
        <x:v>4</x:v>
      </x:c>
      <x:c r="F475" s="12" t="n">
        <x:v>0</x:v>
      </x:c>
      <x:c r="G475" t="str">
        <x:v>Online</x:v>
      </x:c>
    </x:row>
    <x:row r="476" ht="15" hidden="0" customHeight="1">
      <x:c r="A476" t="str">
        <x:v>O0475</x:v>
      </x:c>
      <x:c r="B476" s="10" t="n">
        <x:v>45893</x:v>
      </x:c>
      <x:c r="C476" t="str">
        <x:v>C045</x:v>
      </x:c>
      <x:c r="D476" t="str">
        <x:v>P003</x:v>
      </x:c>
      <x:c r="E476" t="n">
        <x:v>3</x:v>
      </x:c>
      <x:c r="F476" s="12" t="n">
        <x:v>0</x:v>
      </x:c>
      <x:c r="G476" t="str">
        <x:v>Partner</x:v>
      </x:c>
    </x:row>
    <x:row r="477" ht="15" hidden="0" customHeight="1">
      <x:c r="A477" t="str">
        <x:v>O0476</x:v>
      </x:c>
      <x:c r="B477" s="10" t="n">
        <x:v>45715</x:v>
      </x:c>
      <x:c r="C477" t="str">
        <x:v>C005</x:v>
      </x:c>
      <x:c r="D477" t="str">
        <x:v>P011</x:v>
      </x:c>
      <x:c r="E477" t="n">
        <x:v>4</x:v>
      </x:c>
      <x:c r="F477" s="12" t="n">
        <x:v>0.1</x:v>
      </x:c>
      <x:c r="G477" t="str">
        <x:v>Online</x:v>
      </x:c>
    </x:row>
    <x:row r="478" ht="15" hidden="0" customHeight="1">
      <x:c r="A478" t="str">
        <x:v>O0477</x:v>
      </x:c>
      <x:c r="B478" s="10" t="n">
        <x:v>45781</x:v>
      </x:c>
      <x:c r="C478" t="str">
        <x:v>C027</x:v>
      </x:c>
      <x:c r="D478" t="str">
        <x:v>P002</x:v>
      </x:c>
      <x:c r="E478" t="n">
        <x:v>1</x:v>
      </x:c>
      <x:c r="F478" s="12" t="n">
        <x:v>0.1</x:v>
      </x:c>
      <x:c r="G478" t="str">
        <x:v>Online</x:v>
      </x:c>
    </x:row>
    <x:row r="479" ht="15" hidden="0" customHeight="1">
      <x:c r="A479" t="str">
        <x:v>O0478</x:v>
      </x:c>
      <x:c r="B479" s="10" t="n">
        <x:v>45886</x:v>
      </x:c>
      <x:c r="C479" t="str">
        <x:v>C077</x:v>
      </x:c>
      <x:c r="D479" t="str">
        <x:v>P011</x:v>
      </x:c>
      <x:c r="E479" t="n">
        <x:v>6</x:v>
      </x:c>
      <x:c r="F479" s="12" t="n">
        <x:v>0</x:v>
      </x:c>
      <x:c r="G479" t="str">
        <x:v>Online</x:v>
      </x:c>
    </x:row>
    <x:row r="480" ht="15" hidden="0" customHeight="1">
      <x:c r="A480" t="str">
        <x:v>O0479</x:v>
      </x:c>
      <x:c r="B480" s="10" t="n">
        <x:v>45680</x:v>
      </x:c>
      <x:c r="C480" t="str">
        <x:v>C052</x:v>
      </x:c>
      <x:c r="D480" t="str">
        <x:v>P008</x:v>
      </x:c>
      <x:c r="E480" t="n">
        <x:v>2</x:v>
      </x:c>
      <x:c r="F480" s="12" t="n">
        <x:v>0.1</x:v>
      </x:c>
      <x:c r="G480" t="str">
        <x:v>Online</x:v>
      </x:c>
    </x:row>
    <x:row r="481" ht="15" hidden="0" customHeight="1">
      <x:c r="A481" t="str">
        <x:v>O0480</x:v>
      </x:c>
      <x:c r="B481" s="10" t="n">
        <x:v>45686</x:v>
      </x:c>
      <x:c r="C481" t="str">
        <x:v>C018</x:v>
      </x:c>
      <x:c r="D481" t="str">
        <x:v>P009</x:v>
      </x:c>
      <x:c r="E481" t="n">
        <x:v>3</x:v>
      </x:c>
      <x:c r="F481" s="12" t="n">
        <x:v>0</x:v>
      </x:c>
      <x:c r="G481" t="str">
        <x:v>Partner</x:v>
      </x:c>
    </x:row>
    <x:row r="482" ht="15" hidden="0" customHeight="1">
      <x:c r="A482" t="str">
        <x:v>O0481</x:v>
      </x:c>
      <x:c r="B482" s="10" t="n">
        <x:v>45952</x:v>
      </x:c>
      <x:c r="C482" t="str">
        <x:v>C041</x:v>
      </x:c>
      <x:c r="D482" t="str">
        <x:v>P010</x:v>
      </x:c>
      <x:c r="E482" t="n">
        <x:v>5</x:v>
      </x:c>
      <x:c r="F482" s="12" t="n">
        <x:v>0.15</x:v>
      </x:c>
      <x:c r="G482" t="str">
        <x:v>Retail</x:v>
      </x:c>
    </x:row>
    <x:row r="483" ht="15" hidden="0" customHeight="1">
      <x:c r="A483" t="str">
        <x:v>O0482</x:v>
      </x:c>
      <x:c r="B483" s="10" t="n">
        <x:v>45779</x:v>
      </x:c>
      <x:c r="C483" t="str">
        <x:v>C039</x:v>
      </x:c>
      <x:c r="D483" t="str">
        <x:v>P003</x:v>
      </x:c>
      <x:c r="E483" t="n">
        <x:v>6</x:v>
      </x:c>
      <x:c r="F483" s="12" t="n">
        <x:v>0.1</x:v>
      </x:c>
      <x:c r="G483" t="str">
        <x:v>Online</x:v>
      </x:c>
    </x:row>
    <x:row r="484" ht="15" hidden="0" customHeight="1">
      <x:c r="A484" t="str">
        <x:v>O0483</x:v>
      </x:c>
      <x:c r="B484" s="10" t="n">
        <x:v>45869</x:v>
      </x:c>
      <x:c r="C484" t="str">
        <x:v>C039</x:v>
      </x:c>
      <x:c r="D484" t="str">
        <x:v>P005</x:v>
      </x:c>
      <x:c r="E484" t="n">
        <x:v>1</x:v>
      </x:c>
      <x:c r="F484" s="12" t="n">
        <x:v>0.1</x:v>
      </x:c>
      <x:c r="G484" t="str">
        <x:v>Partner</x:v>
      </x:c>
    </x:row>
    <x:row r="485" ht="15" hidden="0" customHeight="1">
      <x:c r="A485" t="str">
        <x:v>O0484</x:v>
      </x:c>
      <x:c r="B485" s="10" t="n">
        <x:v>45747</x:v>
      </x:c>
      <x:c r="C485" t="str">
        <x:v>C055</x:v>
      </x:c>
      <x:c r="D485" t="str">
        <x:v>P009</x:v>
      </x:c>
      <x:c r="E485" t="n">
        <x:v>4</x:v>
      </x:c>
      <x:c r="F485" s="12" t="n">
        <x:v>0</x:v>
      </x:c>
      <x:c r="G485" t="str">
        <x:v>Retail</x:v>
      </x:c>
    </x:row>
    <x:row r="486" ht="15" hidden="0" customHeight="1">
      <x:c r="A486" t="str">
        <x:v>O0485</x:v>
      </x:c>
      <x:c r="B486" s="10" t="n">
        <x:v>45987</x:v>
      </x:c>
      <x:c r="C486" t="str">
        <x:v>C049</x:v>
      </x:c>
      <x:c r="D486" t="str">
        <x:v>P009</x:v>
      </x:c>
      <x:c r="E486" t="n">
        <x:v>3</x:v>
      </x:c>
      <x:c r="F486" s="12" t="n">
        <x:v>0.15</x:v>
      </x:c>
      <x:c r="G486" t="str">
        <x:v>Retail</x:v>
      </x:c>
    </x:row>
    <x:row r="487" ht="15" hidden="0" customHeight="1">
      <x:c r="A487" t="str">
        <x:v>O0486</x:v>
      </x:c>
      <x:c r="B487" s="10" t="n">
        <x:v>45867</x:v>
      </x:c>
      <x:c r="C487" t="str">
        <x:v>C020</x:v>
      </x:c>
      <x:c r="D487" t="str">
        <x:v>P005</x:v>
      </x:c>
      <x:c r="E487" t="n">
        <x:v>4</x:v>
      </x:c>
      <x:c r="F487" s="12" t="n">
        <x:v>0</x:v>
      </x:c>
      <x:c r="G487" t="str">
        <x:v>Partner</x:v>
      </x:c>
    </x:row>
    <x:row r="488" ht="15" hidden="0" customHeight="1">
      <x:c r="A488" t="str">
        <x:v>O0487</x:v>
      </x:c>
      <x:c r="B488" s="10" t="n">
        <x:v>45900</x:v>
      </x:c>
      <x:c r="C488" t="str">
        <x:v>C031</x:v>
      </x:c>
      <x:c r="D488" t="str">
        <x:v>P004</x:v>
      </x:c>
      <x:c r="E488" t="n">
        <x:v>3</x:v>
      </x:c>
      <x:c r="F488" s="12" t="n">
        <x:v>0.15</x:v>
      </x:c>
      <x:c r="G488" t="str">
        <x:v>Online</x:v>
      </x:c>
    </x:row>
    <x:row r="489" ht="15" hidden="0" customHeight="1">
      <x:c r="A489" t="str">
        <x:v>O0488</x:v>
      </x:c>
      <x:c r="B489" s="10" t="n">
        <x:v>45895</x:v>
      </x:c>
      <x:c r="C489" t="str">
        <x:v>C008</x:v>
      </x:c>
      <x:c r="D489" t="str">
        <x:v>P009</x:v>
      </x:c>
      <x:c r="E489" t="n">
        <x:v>4</x:v>
      </x:c>
      <x:c r="F489" s="12" t="n">
        <x:v>0.05</x:v>
      </x:c>
      <x:c r="G489" t="str">
        <x:v>Partner</x:v>
      </x:c>
    </x:row>
    <x:row r="490" ht="15" hidden="0" customHeight="1">
      <x:c r="A490" t="str">
        <x:v>O0489</x:v>
      </x:c>
      <x:c r="B490" s="10" t="n">
        <x:v>45929</x:v>
      </x:c>
      <x:c r="C490" t="str">
        <x:v>C018</x:v>
      </x:c>
      <x:c r="D490" t="str">
        <x:v>P007</x:v>
      </x:c>
      <x:c r="E490" t="n">
        <x:v>2</x:v>
      </x:c>
      <x:c r="F490" s="12" t="n">
        <x:v>0</x:v>
      </x:c>
      <x:c r="G490" t="str">
        <x:v>Online</x:v>
      </x:c>
    </x:row>
    <x:row r="491" ht="15" hidden="0" customHeight="1">
      <x:c r="A491" t="str">
        <x:v>O0490</x:v>
      </x:c>
      <x:c r="B491" s="10" t="n">
        <x:v>45827</x:v>
      </x:c>
      <x:c r="C491" t="str">
        <x:v>C011</x:v>
      </x:c>
      <x:c r="D491" t="str">
        <x:v>P008</x:v>
      </x:c>
      <x:c r="E491" t="n">
        <x:v>3</x:v>
      </x:c>
      <x:c r="F491" s="12" t="n">
        <x:v>0</x:v>
      </x:c>
      <x:c r="G491" t="str">
        <x:v>Partner</x:v>
      </x:c>
    </x:row>
    <x:row r="492" ht="15" hidden="0" customHeight="1">
      <x:c r="A492" t="str">
        <x:v>O0491</x:v>
      </x:c>
      <x:c r="B492" s="10" t="n">
        <x:v>45755</x:v>
      </x:c>
      <x:c r="C492" t="str">
        <x:v>C007</x:v>
      </x:c>
      <x:c r="D492" t="str">
        <x:v>P005</x:v>
      </x:c>
      <x:c r="E492" t="n">
        <x:v>4</x:v>
      </x:c>
      <x:c r="F492" s="12" t="n">
        <x:v>0.15</x:v>
      </x:c>
      <x:c r="G492" t="str">
        <x:v>Partner</x:v>
      </x:c>
    </x:row>
    <x:row r="493" ht="15" hidden="0" customHeight="1">
      <x:c r="A493" t="str">
        <x:v>O0492</x:v>
      </x:c>
      <x:c r="B493" s="10" t="n">
        <x:v>45966</x:v>
      </x:c>
      <x:c r="C493" t="str">
        <x:v>C006</x:v>
      </x:c>
      <x:c r="D493" t="str">
        <x:v>P002</x:v>
      </x:c>
      <x:c r="E493" t="n">
        <x:v>2</x:v>
      </x:c>
      <x:c r="F493" s="12" t="n">
        <x:v>0.1</x:v>
      </x:c>
      <x:c r="G493" t="str">
        <x:v>Partner</x:v>
      </x:c>
    </x:row>
    <x:row r="494" ht="15" hidden="0" customHeight="1">
      <x:c r="A494" t="str">
        <x:v>O0493</x:v>
      </x:c>
      <x:c r="B494" s="10" t="n">
        <x:v>46001</x:v>
      </x:c>
      <x:c r="C494" t="str">
        <x:v>C072</x:v>
      </x:c>
      <x:c r="D494" t="str">
        <x:v>P004</x:v>
      </x:c>
      <x:c r="E494" t="n">
        <x:v>4</x:v>
      </x:c>
      <x:c r="F494" s="12" t="n">
        <x:v>0</x:v>
      </x:c>
      <x:c r="G494" t="str">
        <x:v>Retail</x:v>
      </x:c>
    </x:row>
    <x:row r="495" ht="15" hidden="0" customHeight="1">
      <x:c r="A495" t="str">
        <x:v>O0494</x:v>
      </x:c>
      <x:c r="B495" s="10" t="n">
        <x:v>45813</x:v>
      </x:c>
      <x:c r="C495" t="str">
        <x:v>C002</x:v>
      </x:c>
      <x:c r="D495" t="str">
        <x:v>P004</x:v>
      </x:c>
      <x:c r="E495" t="n">
        <x:v>2</x:v>
      </x:c>
      <x:c r="F495" s="12" t="n">
        <x:v>0.15</x:v>
      </x:c>
      <x:c r="G495" t="str">
        <x:v>Online</x:v>
      </x:c>
    </x:row>
    <x:row r="496" ht="15" hidden="0" customHeight="1">
      <x:c r="A496" t="str">
        <x:v>O0495</x:v>
      </x:c>
      <x:c r="B496" s="10" t="n">
        <x:v>45903</x:v>
      </x:c>
      <x:c r="C496" t="str">
        <x:v>C032</x:v>
      </x:c>
      <x:c r="D496" t="str">
        <x:v>P012</x:v>
      </x:c>
      <x:c r="E496" t="n">
        <x:v>5</x:v>
      </x:c>
      <x:c r="F496" s="12" t="n">
        <x:v>0.15</x:v>
      </x:c>
      <x:c r="G496" t="str">
        <x:v>Online</x:v>
      </x:c>
    </x:row>
    <x:row r="497" ht="15" hidden="0" customHeight="1">
      <x:c r="A497" t="str">
        <x:v>O0496</x:v>
      </x:c>
      <x:c r="B497" s="10" t="n">
        <x:v>45861</x:v>
      </x:c>
      <x:c r="C497" t="str">
        <x:v>C031</x:v>
      </x:c>
      <x:c r="D497" t="str">
        <x:v>P009</x:v>
      </x:c>
      <x:c r="E497" t="n">
        <x:v>3</x:v>
      </x:c>
      <x:c r="F497" s="12" t="n">
        <x:v>0</x:v>
      </x:c>
      <x:c r="G497" t="str">
        <x:v>Retail</x:v>
      </x:c>
    </x:row>
    <x:row r="498" ht="15" hidden="0" customHeight="1">
      <x:c r="A498" t="str">
        <x:v>O0497</x:v>
      </x:c>
      <x:c r="B498" s="10" t="n">
        <x:v>45896</x:v>
      </x:c>
      <x:c r="C498" t="str">
        <x:v>C069</x:v>
      </x:c>
      <x:c r="D498" t="str">
        <x:v>P011</x:v>
      </x:c>
      <x:c r="E498" t="n">
        <x:v>3</x:v>
      </x:c>
      <x:c r="F498" s="12" t="n">
        <x:v>0</x:v>
      </x:c>
      <x:c r="G498" t="str">
        <x:v>Retail</x:v>
      </x:c>
    </x:row>
    <x:row r="499" ht="15" hidden="0" customHeight="1">
      <x:c r="A499" t="str">
        <x:v>O0498</x:v>
      </x:c>
      <x:c r="B499" s="10" t="n">
        <x:v>45842</x:v>
      </x:c>
      <x:c r="C499" t="str">
        <x:v>C066</x:v>
      </x:c>
      <x:c r="D499" t="str">
        <x:v>P008</x:v>
      </x:c>
      <x:c r="E499" t="n">
        <x:v>4</x:v>
      </x:c>
      <x:c r="F499" s="12" t="n">
        <x:v>0</x:v>
      </x:c>
      <x:c r="G499" t="str">
        <x:v>Partner</x:v>
      </x:c>
    </x:row>
    <x:row r="500" ht="15" hidden="0" customHeight="1">
      <x:c r="A500" t="str">
        <x:v>O0499</x:v>
      </x:c>
      <x:c r="B500" s="10" t="n">
        <x:v>45898</x:v>
      </x:c>
      <x:c r="C500" t="str">
        <x:v>C041</x:v>
      </x:c>
      <x:c r="D500" t="str">
        <x:v>P004</x:v>
      </x:c>
      <x:c r="E500" t="n">
        <x:v>3</x:v>
      </x:c>
      <x:c r="F500" s="12" t="n">
        <x:v>0</x:v>
      </x:c>
      <x:c r="G500" t="str">
        <x:v>Retail</x:v>
      </x:c>
    </x:row>
    <x:row r="501" ht="15" hidden="0" customHeight="1">
      <x:c r="A501" t="str">
        <x:v>O0500</x:v>
      </x:c>
      <x:c r="B501" s="10" t="n">
        <x:v>45681</x:v>
      </x:c>
      <x:c r="C501" t="str">
        <x:v>C073</x:v>
      </x:c>
      <x:c r="D501" t="str">
        <x:v>P004</x:v>
      </x:c>
      <x:c r="E501" t="n">
        <x:v>6</x:v>
      </x:c>
      <x:c r="F501" s="12" t="n">
        <x:v>0</x:v>
      </x:c>
      <x:c r="G501" t="str">
        <x:v>Online</x:v>
      </x:c>
    </x:row>
  </x:sheetData>
  <x:pageMargins left="0.7" right="0.7" top="0.75" bottom="0.75" header="0.3" footer="0.3"/>
  <x:tableParts count="1">
    <x:tablePart xmlns:r="http://schemas.openxmlformats.org/officeDocument/2006/relationships" r:id="Re30767d61b174d7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15" hidden="0" customHeight="1">
      <x:c r="A1" s="5" t="str">
        <x:v>Customer_ID</x:v>
      </x:c>
      <x:c r="B1" s="5" t="str">
        <x:v>Customer_Name</x:v>
      </x:c>
      <x:c r="C1" s="5" t="str">
        <x:v>Segment</x:v>
      </x:c>
      <x:c r="D1" s="5" t="str">
        <x:v>Region</x:v>
      </x:c>
    </x:row>
    <x:row r="2" ht="15" hidden="0" customHeight="1">
      <x:c r="A2" t="str">
        <x:v>C001</x:v>
      </x:c>
      <x:c r="B2" t="str">
        <x:v>Customer 01</x:v>
      </x:c>
      <x:c r="C2" t="str">
        <x:v>Consumer</x:v>
      </x:c>
      <x:c r="D2" t="str">
        <x:v>North</x:v>
      </x:c>
    </x:row>
    <x:row r="3" ht="15" hidden="0" customHeight="1">
      <x:c r="A3" t="str">
        <x:v>C002</x:v>
      </x:c>
      <x:c r="B3" t="str">
        <x:v>Customer 02</x:v>
      </x:c>
      <x:c r="C3" t="str">
        <x:v>Corporate</x:v>
      </x:c>
      <x:c r="D3" t="str">
        <x:v>South</x:v>
      </x:c>
    </x:row>
    <x:row r="4" ht="15" hidden="0" customHeight="1">
      <x:c r="A4" t="str">
        <x:v>C003</x:v>
      </x:c>
      <x:c r="B4" t="str">
        <x:v>Customer 03</x:v>
      </x:c>
      <x:c r="C4" t="str">
        <x:v>Small Business</x:v>
      </x:c>
      <x:c r="D4" t="str">
        <x:v>East</x:v>
      </x:c>
    </x:row>
    <x:row r="5" ht="15" hidden="0" customHeight="1">
      <x:c r="A5" t="str">
        <x:v>C004</x:v>
      </x:c>
      <x:c r="B5" t="str">
        <x:v>Customer 04</x:v>
      </x:c>
      <x:c r="C5" t="str">
        <x:v>Consumer</x:v>
      </x:c>
      <x:c r="D5" t="str">
        <x:v>West</x:v>
      </x:c>
    </x:row>
    <x:row r="6" ht="15" hidden="0" customHeight="1">
      <x:c r="A6" t="str">
        <x:v>C005</x:v>
      </x:c>
      <x:c r="B6" t="str">
        <x:v>Customer 05</x:v>
      </x:c>
      <x:c r="C6" t="str">
        <x:v>Corporate</x:v>
      </x:c>
      <x:c r="D6" t="str">
        <x:v>North</x:v>
      </x:c>
    </x:row>
    <x:row r="7" ht="15" hidden="0" customHeight="1">
      <x:c r="A7" t="str">
        <x:v>C006</x:v>
      </x:c>
      <x:c r="B7" t="str">
        <x:v>Customer 06</x:v>
      </x:c>
      <x:c r="C7" t="str">
        <x:v>Small Business</x:v>
      </x:c>
      <x:c r="D7" t="str">
        <x:v>South</x:v>
      </x:c>
    </x:row>
    <x:row r="8" ht="15" hidden="0" customHeight="1">
      <x:c r="A8" t="str">
        <x:v>C007</x:v>
      </x:c>
      <x:c r="B8" t="str">
        <x:v>Customer 07</x:v>
      </x:c>
      <x:c r="C8" t="str">
        <x:v>Consumer</x:v>
      </x:c>
      <x:c r="D8" t="str">
        <x:v>East</x:v>
      </x:c>
    </x:row>
    <x:row r="9" ht="15" hidden="0" customHeight="1">
      <x:c r="A9" t="str">
        <x:v>C008</x:v>
      </x:c>
      <x:c r="B9" t="str">
        <x:v>Customer 08</x:v>
      </x:c>
      <x:c r="C9" t="str">
        <x:v>Corporate</x:v>
      </x:c>
      <x:c r="D9" t="str">
        <x:v>West</x:v>
      </x:c>
    </x:row>
    <x:row r="10" ht="15" hidden="0" customHeight="1">
      <x:c r="A10" t="str">
        <x:v>C009</x:v>
      </x:c>
      <x:c r="B10" t="str">
        <x:v>Customer 09</x:v>
      </x:c>
      <x:c r="C10" t="str">
        <x:v>Small Business</x:v>
      </x:c>
      <x:c r="D10" t="str">
        <x:v>North</x:v>
      </x:c>
    </x:row>
    <x:row r="11" ht="15" hidden="0" customHeight="1">
      <x:c r="A11" t="str">
        <x:v>C010</x:v>
      </x:c>
      <x:c r="B11" t="str">
        <x:v>Customer 10</x:v>
      </x:c>
      <x:c r="C11" t="str">
        <x:v>Consumer</x:v>
      </x:c>
      <x:c r="D11" t="str">
        <x:v>South</x:v>
      </x:c>
    </x:row>
    <x:row r="12" ht="15" hidden="0" customHeight="1">
      <x:c r="A12" t="str">
        <x:v>C011</x:v>
      </x:c>
      <x:c r="B12" t="str">
        <x:v>Customer 11</x:v>
      </x:c>
      <x:c r="C12" t="str">
        <x:v>Corporate</x:v>
      </x:c>
      <x:c r="D12" t="str">
        <x:v>East</x:v>
      </x:c>
    </x:row>
    <x:row r="13" ht="15" hidden="0" customHeight="1">
      <x:c r="A13" t="str">
        <x:v>C012</x:v>
      </x:c>
      <x:c r="B13" t="str">
        <x:v>Customer 12</x:v>
      </x:c>
      <x:c r="C13" t="str">
        <x:v>Small Business</x:v>
      </x:c>
      <x:c r="D13" t="str">
        <x:v>West</x:v>
      </x:c>
    </x:row>
    <x:row r="14" ht="15" hidden="0" customHeight="1">
      <x:c r="A14" t="str">
        <x:v>C013</x:v>
      </x:c>
      <x:c r="B14" t="str">
        <x:v>Customer 13</x:v>
      </x:c>
      <x:c r="C14" t="str">
        <x:v>Consumer</x:v>
      </x:c>
      <x:c r="D14" t="str">
        <x:v>North</x:v>
      </x:c>
    </x:row>
    <x:row r="15" ht="15" hidden="0" customHeight="1">
      <x:c r="A15" t="str">
        <x:v>C014</x:v>
      </x:c>
      <x:c r="B15" t="str">
        <x:v>Customer 14</x:v>
      </x:c>
      <x:c r="C15" t="str">
        <x:v>Corporate</x:v>
      </x:c>
      <x:c r="D15" t="str">
        <x:v>South</x:v>
      </x:c>
    </x:row>
    <x:row r="16" ht="15" hidden="0" customHeight="1">
      <x:c r="A16" t="str">
        <x:v>C015</x:v>
      </x:c>
      <x:c r="B16" t="str">
        <x:v>Customer 15</x:v>
      </x:c>
      <x:c r="C16" t="str">
        <x:v>Small Business</x:v>
      </x:c>
      <x:c r="D16" t="str">
        <x:v>East</x:v>
      </x:c>
    </x:row>
    <x:row r="17" ht="15" hidden="0" customHeight="1">
      <x:c r="A17" t="str">
        <x:v>C016</x:v>
      </x:c>
      <x:c r="B17" t="str">
        <x:v>Customer 16</x:v>
      </x:c>
      <x:c r="C17" t="str">
        <x:v>Consumer</x:v>
      </x:c>
      <x:c r="D17" t="str">
        <x:v>West</x:v>
      </x:c>
    </x:row>
    <x:row r="18" ht="15" hidden="0" customHeight="1">
      <x:c r="A18" t="str">
        <x:v>C017</x:v>
      </x:c>
      <x:c r="B18" t="str">
        <x:v>Customer 17</x:v>
      </x:c>
      <x:c r="C18" t="str">
        <x:v>Corporate</x:v>
      </x:c>
      <x:c r="D18" t="str">
        <x:v>North</x:v>
      </x:c>
    </x:row>
    <x:row r="19" ht="15" hidden="0" customHeight="1">
      <x:c r="A19" t="str">
        <x:v>C018</x:v>
      </x:c>
      <x:c r="B19" t="str">
        <x:v>Customer 18</x:v>
      </x:c>
      <x:c r="C19" t="str">
        <x:v>Small Business</x:v>
      </x:c>
      <x:c r="D19" t="str">
        <x:v>South</x:v>
      </x:c>
    </x:row>
    <x:row r="20" ht="15" hidden="0" customHeight="1">
      <x:c r="A20" t="str">
        <x:v>C019</x:v>
      </x:c>
      <x:c r="B20" t="str">
        <x:v>Customer 19</x:v>
      </x:c>
      <x:c r="C20" t="str">
        <x:v>Consumer</x:v>
      </x:c>
      <x:c r="D20" t="str">
        <x:v>East</x:v>
      </x:c>
    </x:row>
    <x:row r="21" ht="15" hidden="0" customHeight="1">
      <x:c r="A21" t="str">
        <x:v>C020</x:v>
      </x:c>
      <x:c r="B21" t="str">
        <x:v>Customer 20</x:v>
      </x:c>
      <x:c r="C21" t="str">
        <x:v>Corporate</x:v>
      </x:c>
      <x:c r="D21" t="str">
        <x:v>West</x:v>
      </x:c>
    </x:row>
    <x:row r="22" ht="15" hidden="0" customHeight="1">
      <x:c r="A22" t="str">
        <x:v>C021</x:v>
      </x:c>
      <x:c r="B22" t="str">
        <x:v>Customer 21</x:v>
      </x:c>
      <x:c r="C22" t="str">
        <x:v>Small Business</x:v>
      </x:c>
      <x:c r="D22" t="str">
        <x:v>North</x:v>
      </x:c>
    </x:row>
    <x:row r="23" ht="15" hidden="0" customHeight="1">
      <x:c r="A23" t="str">
        <x:v>C022</x:v>
      </x:c>
      <x:c r="B23" t="str">
        <x:v>Customer 22</x:v>
      </x:c>
      <x:c r="C23" t="str">
        <x:v>Consumer</x:v>
      </x:c>
      <x:c r="D23" t="str">
        <x:v>South</x:v>
      </x:c>
    </x:row>
    <x:row r="24" ht="15" hidden="0" customHeight="1">
      <x:c r="A24" t="str">
        <x:v>C023</x:v>
      </x:c>
      <x:c r="B24" t="str">
        <x:v>Customer 23</x:v>
      </x:c>
      <x:c r="C24" t="str">
        <x:v>Corporate</x:v>
      </x:c>
      <x:c r="D24" t="str">
        <x:v>East</x:v>
      </x:c>
    </x:row>
    <x:row r="25" ht="15" hidden="0" customHeight="1">
      <x:c r="A25" t="str">
        <x:v>C024</x:v>
      </x:c>
      <x:c r="B25" t="str">
        <x:v>Customer 24</x:v>
      </x:c>
      <x:c r="C25" t="str">
        <x:v>Small Business</x:v>
      </x:c>
      <x:c r="D25" t="str">
        <x:v>West</x:v>
      </x:c>
    </x:row>
    <x:row r="26" ht="15" hidden="0" customHeight="1">
      <x:c r="A26" t="str">
        <x:v>C025</x:v>
      </x:c>
      <x:c r="B26" t="str">
        <x:v>Customer 25</x:v>
      </x:c>
      <x:c r="C26" t="str">
        <x:v>Consumer</x:v>
      </x:c>
      <x:c r="D26" t="str">
        <x:v>North</x:v>
      </x:c>
    </x:row>
    <x:row r="27" ht="15" hidden="0" customHeight="1">
      <x:c r="A27" t="str">
        <x:v>C026</x:v>
      </x:c>
      <x:c r="B27" t="str">
        <x:v>Customer 26</x:v>
      </x:c>
      <x:c r="C27" t="str">
        <x:v>Corporate</x:v>
      </x:c>
      <x:c r="D27" t="str">
        <x:v>South</x:v>
      </x:c>
    </x:row>
    <x:row r="28" ht="15" hidden="0" customHeight="1">
      <x:c r="A28" t="str">
        <x:v>C027</x:v>
      </x:c>
      <x:c r="B28" t="str">
        <x:v>Customer 27</x:v>
      </x:c>
      <x:c r="C28" t="str">
        <x:v>Small Business</x:v>
      </x:c>
      <x:c r="D28" t="str">
        <x:v>East</x:v>
      </x:c>
    </x:row>
    <x:row r="29" ht="15" hidden="0" customHeight="1">
      <x:c r="A29" t="str">
        <x:v>C028</x:v>
      </x:c>
      <x:c r="B29" t="str">
        <x:v>Customer 28</x:v>
      </x:c>
      <x:c r="C29" t="str">
        <x:v>Consumer</x:v>
      </x:c>
      <x:c r="D29" t="str">
        <x:v>West</x:v>
      </x:c>
    </x:row>
    <x:row r="30" ht="15" hidden="0" customHeight="1">
      <x:c r="A30" t="str">
        <x:v>C029</x:v>
      </x:c>
      <x:c r="B30" t="str">
        <x:v>Customer 29</x:v>
      </x:c>
      <x:c r="C30" t="str">
        <x:v>Corporate</x:v>
      </x:c>
      <x:c r="D30" t="str">
        <x:v>North</x:v>
      </x:c>
    </x:row>
    <x:row r="31" ht="15" hidden="0" customHeight="1">
      <x:c r="A31" t="str">
        <x:v>C030</x:v>
      </x:c>
      <x:c r="B31" t="str">
        <x:v>Customer 30</x:v>
      </x:c>
      <x:c r="C31" t="str">
        <x:v>Small Business</x:v>
      </x:c>
      <x:c r="D31" t="str">
        <x:v>South</x:v>
      </x:c>
    </x:row>
    <x:row r="32" ht="15" hidden="0" customHeight="1">
      <x:c r="A32" t="str">
        <x:v>C031</x:v>
      </x:c>
      <x:c r="B32" t="str">
        <x:v>Customer 31</x:v>
      </x:c>
      <x:c r="C32" t="str">
        <x:v>Consumer</x:v>
      </x:c>
      <x:c r="D32" t="str">
        <x:v>East</x:v>
      </x:c>
    </x:row>
    <x:row r="33" ht="15" hidden="0" customHeight="1">
      <x:c r="A33" t="str">
        <x:v>C032</x:v>
      </x:c>
      <x:c r="B33" t="str">
        <x:v>Customer 32</x:v>
      </x:c>
      <x:c r="C33" t="str">
        <x:v>Corporate</x:v>
      </x:c>
      <x:c r="D33" t="str">
        <x:v>West</x:v>
      </x:c>
    </x:row>
    <x:row r="34" ht="15" hidden="0" customHeight="1">
      <x:c r="A34" t="str">
        <x:v>C033</x:v>
      </x:c>
      <x:c r="B34" t="str">
        <x:v>Customer 33</x:v>
      </x:c>
      <x:c r="C34" t="str">
        <x:v>Small Business</x:v>
      </x:c>
      <x:c r="D34" t="str">
        <x:v>North</x:v>
      </x:c>
    </x:row>
    <x:row r="35" ht="15" hidden="0" customHeight="1">
      <x:c r="A35" t="str">
        <x:v>C034</x:v>
      </x:c>
      <x:c r="B35" t="str">
        <x:v>Customer 34</x:v>
      </x:c>
      <x:c r="C35" t="str">
        <x:v>Consumer</x:v>
      </x:c>
      <x:c r="D35" t="str">
        <x:v>South</x:v>
      </x:c>
    </x:row>
    <x:row r="36" ht="15" hidden="0" customHeight="1">
      <x:c r="A36" t="str">
        <x:v>C035</x:v>
      </x:c>
      <x:c r="B36" t="str">
        <x:v>Customer 35</x:v>
      </x:c>
      <x:c r="C36" t="str">
        <x:v>Corporate</x:v>
      </x:c>
      <x:c r="D36" t="str">
        <x:v>East</x:v>
      </x:c>
    </x:row>
    <x:row r="37" ht="15" hidden="0" customHeight="1">
      <x:c r="A37" t="str">
        <x:v>C036</x:v>
      </x:c>
      <x:c r="B37" t="str">
        <x:v>Customer 36</x:v>
      </x:c>
      <x:c r="C37" t="str">
        <x:v>Small Business</x:v>
      </x:c>
      <x:c r="D37" t="str">
        <x:v>West</x:v>
      </x:c>
    </x:row>
    <x:row r="38" ht="15" hidden="0" customHeight="1">
      <x:c r="A38" t="str">
        <x:v>C037</x:v>
      </x:c>
      <x:c r="B38" t="str">
        <x:v>Customer 37</x:v>
      </x:c>
      <x:c r="C38" t="str">
        <x:v>Consumer</x:v>
      </x:c>
      <x:c r="D38" t="str">
        <x:v>North</x:v>
      </x:c>
    </x:row>
    <x:row r="39" ht="15" hidden="0" customHeight="1">
      <x:c r="A39" t="str">
        <x:v>C038</x:v>
      </x:c>
      <x:c r="B39" t="str">
        <x:v>Customer 38</x:v>
      </x:c>
      <x:c r="C39" t="str">
        <x:v>Corporate</x:v>
      </x:c>
      <x:c r="D39" t="str">
        <x:v>South</x:v>
      </x:c>
    </x:row>
    <x:row r="40" ht="15" hidden="0" customHeight="1">
      <x:c r="A40" t="str">
        <x:v>C039</x:v>
      </x:c>
      <x:c r="B40" t="str">
        <x:v>Customer 39</x:v>
      </x:c>
      <x:c r="C40" t="str">
        <x:v>Small Business</x:v>
      </x:c>
      <x:c r="D40" t="str">
        <x:v>East</x:v>
      </x:c>
    </x:row>
    <x:row r="41" ht="15" hidden="0" customHeight="1">
      <x:c r="A41" t="str">
        <x:v>C040</x:v>
      </x:c>
      <x:c r="B41" t="str">
        <x:v>Customer 40</x:v>
      </x:c>
      <x:c r="C41" t="str">
        <x:v>Consumer</x:v>
      </x:c>
      <x:c r="D41" t="str">
        <x:v>West</x:v>
      </x:c>
    </x:row>
    <x:row r="42" ht="15" hidden="0" customHeight="1">
      <x:c r="A42" t="str">
        <x:v>C041</x:v>
      </x:c>
      <x:c r="B42" t="str">
        <x:v>Customer 41</x:v>
      </x:c>
      <x:c r="C42" t="str">
        <x:v>Corporate</x:v>
      </x:c>
      <x:c r="D42" t="str">
        <x:v>North</x:v>
      </x:c>
    </x:row>
    <x:row r="43" ht="15" hidden="0" customHeight="1">
      <x:c r="A43" t="str">
        <x:v>C042</x:v>
      </x:c>
      <x:c r="B43" t="str">
        <x:v>Customer 42</x:v>
      </x:c>
      <x:c r="C43" t="str">
        <x:v>Small Business</x:v>
      </x:c>
      <x:c r="D43" t="str">
        <x:v>South</x:v>
      </x:c>
    </x:row>
    <x:row r="44" ht="15" hidden="0" customHeight="1">
      <x:c r="A44" t="str">
        <x:v>C043</x:v>
      </x:c>
      <x:c r="B44" t="str">
        <x:v>Customer 43</x:v>
      </x:c>
      <x:c r="C44" t="str">
        <x:v>Consumer</x:v>
      </x:c>
      <x:c r="D44" t="str">
        <x:v>East</x:v>
      </x:c>
    </x:row>
    <x:row r="45" ht="15" hidden="0" customHeight="1">
      <x:c r="A45" t="str">
        <x:v>C044</x:v>
      </x:c>
      <x:c r="B45" t="str">
        <x:v>Customer 44</x:v>
      </x:c>
      <x:c r="C45" t="str">
        <x:v>Corporate</x:v>
      </x:c>
      <x:c r="D45" t="str">
        <x:v>West</x:v>
      </x:c>
    </x:row>
    <x:row r="46" ht="15" hidden="0" customHeight="1">
      <x:c r="A46" t="str">
        <x:v>C045</x:v>
      </x:c>
      <x:c r="B46" t="str">
        <x:v>Customer 45</x:v>
      </x:c>
      <x:c r="C46" t="str">
        <x:v>Small Business</x:v>
      </x:c>
      <x:c r="D46" t="str">
        <x:v>North</x:v>
      </x:c>
    </x:row>
    <x:row r="47" ht="15" hidden="0" customHeight="1">
      <x:c r="A47" t="str">
        <x:v>C046</x:v>
      </x:c>
      <x:c r="B47" t="str">
        <x:v>Customer 46</x:v>
      </x:c>
      <x:c r="C47" t="str">
        <x:v>Consumer</x:v>
      </x:c>
      <x:c r="D47" t="str">
        <x:v>South</x:v>
      </x:c>
    </x:row>
    <x:row r="48" ht="15" hidden="0" customHeight="1">
      <x:c r="A48" t="str">
        <x:v>C047</x:v>
      </x:c>
      <x:c r="B48" t="str">
        <x:v>Customer 47</x:v>
      </x:c>
      <x:c r="C48" t="str">
        <x:v>Corporate</x:v>
      </x:c>
      <x:c r="D48" t="str">
        <x:v>East</x:v>
      </x:c>
    </x:row>
    <x:row r="49" ht="15" hidden="0" customHeight="1">
      <x:c r="A49" t="str">
        <x:v>C048</x:v>
      </x:c>
      <x:c r="B49" t="str">
        <x:v>Customer 48</x:v>
      </x:c>
      <x:c r="C49" t="str">
        <x:v>Small Business</x:v>
      </x:c>
      <x:c r="D49" t="str">
        <x:v>West</x:v>
      </x:c>
    </x:row>
    <x:row r="50" ht="15" hidden="0" customHeight="1">
      <x:c r="A50" t="str">
        <x:v>C049</x:v>
      </x:c>
      <x:c r="B50" t="str">
        <x:v>Customer 49</x:v>
      </x:c>
      <x:c r="C50" t="str">
        <x:v>Consumer</x:v>
      </x:c>
      <x:c r="D50" t="str">
        <x:v>North</x:v>
      </x:c>
    </x:row>
    <x:row r="51" ht="15" hidden="0" customHeight="1">
      <x:c r="A51" t="str">
        <x:v>C050</x:v>
      </x:c>
      <x:c r="B51" t="str">
        <x:v>Customer 50</x:v>
      </x:c>
      <x:c r="C51" t="str">
        <x:v>Corporate</x:v>
      </x:c>
      <x:c r="D51" t="str">
        <x:v>South</x:v>
      </x:c>
    </x:row>
    <x:row r="52" ht="15" hidden="0" customHeight="1">
      <x:c r="A52" t="str">
        <x:v>C051</x:v>
      </x:c>
      <x:c r="B52" t="str">
        <x:v>Customer 51</x:v>
      </x:c>
      <x:c r="C52" t="str">
        <x:v>Small Business</x:v>
      </x:c>
      <x:c r="D52" t="str">
        <x:v>East</x:v>
      </x:c>
    </x:row>
    <x:row r="53" ht="15" hidden="0" customHeight="1">
      <x:c r="A53" t="str">
        <x:v>C052</x:v>
      </x:c>
      <x:c r="B53" t="str">
        <x:v>Customer 52</x:v>
      </x:c>
      <x:c r="C53" t="str">
        <x:v>Consumer</x:v>
      </x:c>
      <x:c r="D53" t="str">
        <x:v>West</x:v>
      </x:c>
    </x:row>
    <x:row r="54" ht="15" hidden="0" customHeight="1">
      <x:c r="A54" t="str">
        <x:v>C053</x:v>
      </x:c>
      <x:c r="B54" t="str">
        <x:v>Customer 53</x:v>
      </x:c>
      <x:c r="C54" t="str">
        <x:v>Corporate</x:v>
      </x:c>
      <x:c r="D54" t="str">
        <x:v>North</x:v>
      </x:c>
    </x:row>
    <x:row r="55" ht="15" hidden="0" customHeight="1">
      <x:c r="A55" t="str">
        <x:v>C054</x:v>
      </x:c>
      <x:c r="B55" t="str">
        <x:v>Customer 54</x:v>
      </x:c>
      <x:c r="C55" t="str">
        <x:v>Small Business</x:v>
      </x:c>
      <x:c r="D55" t="str">
        <x:v>South</x:v>
      </x:c>
    </x:row>
    <x:row r="56" ht="15" hidden="0" customHeight="1">
      <x:c r="A56" t="str">
        <x:v>C055</x:v>
      </x:c>
      <x:c r="B56" t="str">
        <x:v>Customer 55</x:v>
      </x:c>
      <x:c r="C56" t="str">
        <x:v>Consumer</x:v>
      </x:c>
      <x:c r="D56" t="str">
        <x:v>East</x:v>
      </x:c>
    </x:row>
    <x:row r="57" ht="15" hidden="0" customHeight="1">
      <x:c r="A57" t="str">
        <x:v>C056</x:v>
      </x:c>
      <x:c r="B57" t="str">
        <x:v>Customer 56</x:v>
      </x:c>
      <x:c r="C57" t="str">
        <x:v>Corporate</x:v>
      </x:c>
      <x:c r="D57" t="str">
        <x:v>West</x:v>
      </x:c>
    </x:row>
    <x:row r="58" ht="15" hidden="0" customHeight="1">
      <x:c r="A58" t="str">
        <x:v>C057</x:v>
      </x:c>
      <x:c r="B58" t="str">
        <x:v>Customer 57</x:v>
      </x:c>
      <x:c r="C58" t="str">
        <x:v>Small Business</x:v>
      </x:c>
      <x:c r="D58" t="str">
        <x:v>North</x:v>
      </x:c>
    </x:row>
    <x:row r="59" ht="15" hidden="0" customHeight="1">
      <x:c r="A59" t="str">
        <x:v>C058</x:v>
      </x:c>
      <x:c r="B59" t="str">
        <x:v>Customer 58</x:v>
      </x:c>
      <x:c r="C59" t="str">
        <x:v>Consumer</x:v>
      </x:c>
      <x:c r="D59" t="str">
        <x:v>South</x:v>
      </x:c>
    </x:row>
    <x:row r="60" ht="15" hidden="0" customHeight="1">
      <x:c r="A60" t="str">
        <x:v>C059</x:v>
      </x:c>
      <x:c r="B60" t="str">
        <x:v>Customer 59</x:v>
      </x:c>
      <x:c r="C60" t="str">
        <x:v>Corporate</x:v>
      </x:c>
      <x:c r="D60" t="str">
        <x:v>East</x:v>
      </x:c>
    </x:row>
    <x:row r="61" ht="15" hidden="0" customHeight="1">
      <x:c r="A61" t="str">
        <x:v>C060</x:v>
      </x:c>
      <x:c r="B61" t="str">
        <x:v>Customer 60</x:v>
      </x:c>
      <x:c r="C61" t="str">
        <x:v>Small Business</x:v>
      </x:c>
      <x:c r="D61" t="str">
        <x:v>West</x:v>
      </x:c>
    </x:row>
    <x:row r="62" ht="15" hidden="0" customHeight="1">
      <x:c r="A62" t="str">
        <x:v>C061</x:v>
      </x:c>
      <x:c r="B62" t="str">
        <x:v>Customer 61</x:v>
      </x:c>
      <x:c r="C62" t="str">
        <x:v>Consumer</x:v>
      </x:c>
      <x:c r="D62" t="str">
        <x:v>North</x:v>
      </x:c>
    </x:row>
    <x:row r="63" ht="15" hidden="0" customHeight="1">
      <x:c r="A63" t="str">
        <x:v>C062</x:v>
      </x:c>
      <x:c r="B63" t="str">
        <x:v>Customer 62</x:v>
      </x:c>
      <x:c r="C63" t="str">
        <x:v>Corporate</x:v>
      </x:c>
      <x:c r="D63" t="str">
        <x:v>South</x:v>
      </x:c>
    </x:row>
    <x:row r="64" ht="15" hidden="0" customHeight="1">
      <x:c r="A64" t="str">
        <x:v>C063</x:v>
      </x:c>
      <x:c r="B64" t="str">
        <x:v>Customer 63</x:v>
      </x:c>
      <x:c r="C64" t="str">
        <x:v>Small Business</x:v>
      </x:c>
      <x:c r="D64" t="str">
        <x:v>East</x:v>
      </x:c>
    </x:row>
    <x:row r="65" ht="15" hidden="0" customHeight="1">
      <x:c r="A65" t="str">
        <x:v>C064</x:v>
      </x:c>
      <x:c r="B65" t="str">
        <x:v>Customer 64</x:v>
      </x:c>
      <x:c r="C65" t="str">
        <x:v>Consumer</x:v>
      </x:c>
      <x:c r="D65" t="str">
        <x:v>West</x:v>
      </x:c>
    </x:row>
    <x:row r="66" ht="15" hidden="0" customHeight="1">
      <x:c r="A66" t="str">
        <x:v>C065</x:v>
      </x:c>
      <x:c r="B66" t="str">
        <x:v>Customer 65</x:v>
      </x:c>
      <x:c r="C66" t="str">
        <x:v>Corporate</x:v>
      </x:c>
      <x:c r="D66" t="str">
        <x:v>North</x:v>
      </x:c>
    </x:row>
    <x:row r="67" ht="15" hidden="0" customHeight="1">
      <x:c r="A67" t="str">
        <x:v>C066</x:v>
      </x:c>
      <x:c r="B67" t="str">
        <x:v>Customer 66</x:v>
      </x:c>
      <x:c r="C67" t="str">
        <x:v>Small Business</x:v>
      </x:c>
      <x:c r="D67" t="str">
        <x:v>South</x:v>
      </x:c>
    </x:row>
    <x:row r="68" ht="15" hidden="0" customHeight="1">
      <x:c r="A68" t="str">
        <x:v>C067</x:v>
      </x:c>
      <x:c r="B68" t="str">
        <x:v>Customer 67</x:v>
      </x:c>
      <x:c r="C68" t="str">
        <x:v>Consumer</x:v>
      </x:c>
      <x:c r="D68" t="str">
        <x:v>East</x:v>
      </x:c>
    </x:row>
    <x:row r="69" ht="15" hidden="0" customHeight="1">
      <x:c r="A69" t="str">
        <x:v>C068</x:v>
      </x:c>
      <x:c r="B69" t="str">
        <x:v>Customer 68</x:v>
      </x:c>
      <x:c r="C69" t="str">
        <x:v>Corporate</x:v>
      </x:c>
      <x:c r="D69" t="str">
        <x:v>West</x:v>
      </x:c>
    </x:row>
    <x:row r="70" ht="15" hidden="0" customHeight="1">
      <x:c r="A70" t="str">
        <x:v>C069</x:v>
      </x:c>
      <x:c r="B70" t="str">
        <x:v>Customer 69</x:v>
      </x:c>
      <x:c r="C70" t="str">
        <x:v>Small Business</x:v>
      </x:c>
      <x:c r="D70" t="str">
        <x:v>North</x:v>
      </x:c>
    </x:row>
    <x:row r="71" ht="15" hidden="0" customHeight="1">
      <x:c r="A71" t="str">
        <x:v>C070</x:v>
      </x:c>
      <x:c r="B71" t="str">
        <x:v>Customer 70</x:v>
      </x:c>
      <x:c r="C71" t="str">
        <x:v>Consumer</x:v>
      </x:c>
      <x:c r="D71" t="str">
        <x:v>South</x:v>
      </x:c>
    </x:row>
    <x:row r="72" ht="15" hidden="0" customHeight="1">
      <x:c r="A72" t="str">
        <x:v>C071</x:v>
      </x:c>
      <x:c r="B72" t="str">
        <x:v>Customer 71</x:v>
      </x:c>
      <x:c r="C72" t="str">
        <x:v>Corporate</x:v>
      </x:c>
      <x:c r="D72" t="str">
        <x:v>East</x:v>
      </x:c>
    </x:row>
    <x:row r="73" ht="15" hidden="0" customHeight="1">
      <x:c r="A73" t="str">
        <x:v>C072</x:v>
      </x:c>
      <x:c r="B73" t="str">
        <x:v>Customer 72</x:v>
      </x:c>
      <x:c r="C73" t="str">
        <x:v>Small Business</x:v>
      </x:c>
      <x:c r="D73" t="str">
        <x:v>West</x:v>
      </x:c>
    </x:row>
    <x:row r="74" ht="15" hidden="0" customHeight="1">
      <x:c r="A74" t="str">
        <x:v>C073</x:v>
      </x:c>
      <x:c r="B74" t="str">
        <x:v>Customer 73</x:v>
      </x:c>
      <x:c r="C74" t="str">
        <x:v>Consumer</x:v>
      </x:c>
      <x:c r="D74" t="str">
        <x:v>North</x:v>
      </x:c>
    </x:row>
    <x:row r="75" ht="15" hidden="0" customHeight="1">
      <x:c r="A75" t="str">
        <x:v>C074</x:v>
      </x:c>
      <x:c r="B75" t="str">
        <x:v>Customer 74</x:v>
      </x:c>
      <x:c r="C75" t="str">
        <x:v>Corporate</x:v>
      </x:c>
      <x:c r="D75" t="str">
        <x:v>South</x:v>
      </x:c>
    </x:row>
    <x:row r="76" ht="15" hidden="0" customHeight="1">
      <x:c r="A76" t="str">
        <x:v>C075</x:v>
      </x:c>
      <x:c r="B76" t="str">
        <x:v>Customer 75</x:v>
      </x:c>
      <x:c r="C76" t="str">
        <x:v>Small Business</x:v>
      </x:c>
      <x:c r="D76" t="str">
        <x:v>East</x:v>
      </x:c>
    </x:row>
    <x:row r="77" ht="15" hidden="0" customHeight="1">
      <x:c r="A77" t="str">
        <x:v>C076</x:v>
      </x:c>
      <x:c r="B77" t="str">
        <x:v>Customer 76</x:v>
      </x:c>
      <x:c r="C77" t="str">
        <x:v>Consumer</x:v>
      </x:c>
      <x:c r="D77" t="str">
        <x:v>West</x:v>
      </x:c>
    </x:row>
    <x:row r="78" ht="15" hidden="0" customHeight="1">
      <x:c r="A78" t="str">
        <x:v>C077</x:v>
      </x:c>
      <x:c r="B78" t="str">
        <x:v>Customer 77</x:v>
      </x:c>
      <x:c r="C78" t="str">
        <x:v>Corporate</x:v>
      </x:c>
      <x:c r="D78" t="str">
        <x:v>North</x:v>
      </x:c>
    </x:row>
    <x:row r="79" ht="15" hidden="0" customHeight="1">
      <x:c r="A79" t="str">
        <x:v>C078</x:v>
      </x:c>
      <x:c r="B79" t="str">
        <x:v>Customer 78</x:v>
      </x:c>
      <x:c r="C79" t="str">
        <x:v>Small Business</x:v>
      </x:c>
      <x:c r="D79" t="str">
        <x:v>South</x:v>
      </x:c>
    </x:row>
    <x:row r="80" ht="15" hidden="0" customHeight="1">
      <x:c r="A80" t="str">
        <x:v>C079</x:v>
      </x:c>
      <x:c r="B80" t="str">
        <x:v>Customer 79</x:v>
      </x:c>
      <x:c r="C80" t="str">
        <x:v>Consumer</x:v>
      </x:c>
      <x:c r="D80" t="str">
        <x:v>East</x:v>
      </x:c>
    </x:row>
    <x:row r="81" ht="15" hidden="0" customHeight="1">
      <x:c r="A81" t="str">
        <x:v>C080</x:v>
      </x:c>
      <x:c r="B81" t="str">
        <x:v>Customer 80</x:v>
      </x:c>
      <x:c r="C81" t="str">
        <x:v>Corporate</x:v>
      </x:c>
      <x:c r="D81" t="str">
        <x:v>West</x:v>
      </x:c>
    </x:row>
  </x:sheetData>
  <x:pageMargins left="0.7" right="0.7" top="0.75" bottom="0.75" header="0.3" footer="0.3"/>
  <x:tableParts count="1">
    <x:tablePart xmlns:r="http://schemas.openxmlformats.org/officeDocument/2006/relationships" r:id="R32fba2bf479f4d9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15" hidden="0" customHeight="1">
      <x:c r="A1" s="5" t="str">
        <x:v>Product_ID</x:v>
      </x:c>
      <x:c r="B1" s="5" t="str">
        <x:v>Product_Name</x:v>
      </x:c>
      <x:c r="C1" s="5" t="str">
        <x:v>Category</x:v>
      </x:c>
      <x:c r="D1" s="5" t="str">
        <x:v>Unit_Price</x:v>
      </x:c>
      <x:c r="E1" s="5" t="str">
        <x:v>Unit_Cost</x:v>
      </x:c>
    </x:row>
    <x:row r="2" ht="15" hidden="0" customHeight="1">
      <x:c r="A2" t="str">
        <x:v>P001</x:v>
      </x:c>
      <x:c r="B2" t="str">
        <x:v>Wireless Headset</x:v>
      </x:c>
      <x:c r="C2" t="str">
        <x:v>Accessories</x:v>
      </x:c>
      <x:c r="D2" s="14" t="n">
        <x:v>85</x:v>
      </x:c>
      <x:c r="E2" s="14" t="n">
        <x:v>42</x:v>
      </x:c>
    </x:row>
    <x:row r="3" ht="15" hidden="0" customHeight="1">
      <x:c r="A3" t="str">
        <x:v>P002</x:v>
      </x:c>
      <x:c r="B3" t="str">
        <x:v>Mechanical Keyboard</x:v>
      </x:c>
      <x:c r="C3" t="str">
        <x:v>Accessories</x:v>
      </x:c>
      <x:c r="D3" s="14" t="n">
        <x:v>110</x:v>
      </x:c>
      <x:c r="E3" s="14" t="n">
        <x:v>58</x:v>
      </x:c>
    </x:row>
    <x:row r="4" ht="15" hidden="0" customHeight="1">
      <x:c r="A4" t="str">
        <x:v>P003</x:v>
      </x:c>
      <x:c r="B4" t="str">
        <x:v>USB-C Hub</x:v>
      </x:c>
      <x:c r="C4" t="str">
        <x:v>Accessories</x:v>
      </x:c>
      <x:c r="D4" s="14" t="n">
        <x:v>65</x:v>
      </x:c>
      <x:c r="E4" s="14" t="n">
        <x:v>31</x:v>
      </x:c>
    </x:row>
    <x:row r="5" ht="15" hidden="0" customHeight="1">
      <x:c r="A5" t="str">
        <x:v>P004</x:v>
      </x:c>
      <x:c r="B5" t="str">
        <x:v>24in Monitor</x:v>
      </x:c>
      <x:c r="C5" t="str">
        <x:v>Displays</x:v>
      </x:c>
      <x:c r="D5" s="14" t="n">
        <x:v>220</x:v>
      </x:c>
      <x:c r="E5" s="14" t="n">
        <x:v>142</x:v>
      </x:c>
    </x:row>
    <x:row r="6" ht="15" hidden="0" customHeight="1">
      <x:c r="A6" t="str">
        <x:v>P005</x:v>
      </x:c>
      <x:c r="B6" t="str">
        <x:v>27in Monitor</x:v>
      </x:c>
      <x:c r="C6" t="str">
        <x:v>Displays</x:v>
      </x:c>
      <x:c r="D6" s="14" t="n">
        <x:v>310</x:v>
      </x:c>
      <x:c r="E6" s="14" t="n">
        <x:v>205</x:v>
      </x:c>
    </x:row>
    <x:row r="7" ht="15" hidden="0" customHeight="1">
      <x:c r="A7" t="str">
        <x:v>P006</x:v>
      </x:c>
      <x:c r="B7" t="str">
        <x:v>Laptop Stand</x:v>
      </x:c>
      <x:c r="C7" t="str">
        <x:v>Office</x:v>
      </x:c>
      <x:c r="D7" s="14" t="n">
        <x:v>55</x:v>
      </x:c>
      <x:c r="E7" s="14" t="n">
        <x:v>24</x:v>
      </x:c>
    </x:row>
    <x:row r="8" ht="15" hidden="0" customHeight="1">
      <x:c r="A8" t="str">
        <x:v>P007</x:v>
      </x:c>
      <x:c r="B8" t="str">
        <x:v>Ergonomic Chair</x:v>
      </x:c>
      <x:c r="C8" t="str">
        <x:v>Office</x:v>
      </x:c>
      <x:c r="D8" s="14" t="n">
        <x:v>390</x:v>
      </x:c>
      <x:c r="E8" s="14" t="n">
        <x:v>245</x:v>
      </x:c>
    </x:row>
    <x:row r="9" ht="15" hidden="0" customHeight="1">
      <x:c r="A9" t="str">
        <x:v>P008</x:v>
      </x:c>
      <x:c r="B9" t="str">
        <x:v>Webcam</x:v>
      </x:c>
      <x:c r="C9" t="str">
        <x:v>Accessories</x:v>
      </x:c>
      <x:c r="D9" s="14" t="n">
        <x:v>95</x:v>
      </x:c>
      <x:c r="E9" s="14" t="n">
        <x:v>49</x:v>
      </x:c>
    </x:row>
    <x:row r="10" ht="15" hidden="0" customHeight="1">
      <x:c r="A10" t="str">
        <x:v>P009</x:v>
      </x:c>
      <x:c r="B10" t="str">
        <x:v>Desk Lamp</x:v>
      </x:c>
      <x:c r="C10" t="str">
        <x:v>Office</x:v>
      </x:c>
      <x:c r="D10" s="14" t="n">
        <x:v>70</x:v>
      </x:c>
      <x:c r="E10" s="14" t="n">
        <x:v>29</x:v>
      </x:c>
    </x:row>
    <x:row r="11" ht="15" hidden="0" customHeight="1">
      <x:c r="A11" t="str">
        <x:v>P010</x:v>
      </x:c>
      <x:c r="B11" t="str">
        <x:v>Portable SSD</x:v>
      </x:c>
      <x:c r="C11" t="str">
        <x:v>Storage</x:v>
      </x:c>
      <x:c r="D11" s="14" t="n">
        <x:v>145</x:v>
      </x:c>
      <x:c r="E11" s="14" t="n">
        <x:v>86</x:v>
      </x:c>
    </x:row>
    <x:row r="12" ht="15" hidden="0" customHeight="1">
      <x:c r="A12" t="str">
        <x:v>P011</x:v>
      </x:c>
      <x:c r="B12" t="str">
        <x:v>External HDD</x:v>
      </x:c>
      <x:c r="C12" t="str">
        <x:v>Storage</x:v>
      </x:c>
      <x:c r="D12" s="14" t="n">
        <x:v>120</x:v>
      </x:c>
      <x:c r="E12" s="14" t="n">
        <x:v>72</x:v>
      </x:c>
    </x:row>
    <x:row r="13" ht="15" hidden="0" customHeight="1">
      <x:c r="A13" t="str">
        <x:v>P012</x:v>
      </x:c>
      <x:c r="B13" t="str">
        <x:v>Docking Station</x:v>
      </x:c>
      <x:c r="C13" t="str">
        <x:v>Accessories</x:v>
      </x:c>
      <x:c r="D13" s="14" t="n">
        <x:v>180</x:v>
      </x:c>
      <x:c r="E13" s="14" t="n">
        <x:v>104</x:v>
      </x:c>
    </x:row>
  </x:sheetData>
  <x:pageMargins left="0.7" right="0.7" top="0.75" bottom="0.75" header="0.3" footer="0.3"/>
  <x:tableParts count="1">
    <x:tablePart xmlns:r="http://schemas.openxmlformats.org/officeDocument/2006/relationships" r:id="R652ad7ff854241a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15" hidden="0" customHeight="1">
      <x:c r="A1" s="5" t="str">
        <x:v>Order_ID</x:v>
      </x:c>
      <x:c r="B1" s="5" t="str">
        <x:v>Order_Date</x:v>
      </x:c>
      <x:c r="C1" s="5" t="str">
        <x:v>Customer_ID</x:v>
      </x:c>
      <x:c r="D1" s="5" t="str">
        <x:v>Customer_Name</x:v>
      </x:c>
      <x:c r="E1" s="5" t="str">
        <x:v>Segment</x:v>
      </x:c>
      <x:c r="F1" s="5" t="str">
        <x:v>Region</x:v>
      </x:c>
      <x:c r="G1" s="5" t="str">
        <x:v>Product_ID</x:v>
      </x:c>
      <x:c r="H1" s="5" t="str">
        <x:v>Product_Name</x:v>
      </x:c>
      <x:c r="I1" s="5" t="str">
        <x:v>Category</x:v>
      </x:c>
      <x:c r="J1" s="5" t="str">
        <x:v>Channel</x:v>
      </x:c>
      <x:c r="K1" s="5" t="str">
        <x:v>Quantity</x:v>
      </x:c>
      <x:c r="L1" s="5" t="str">
        <x:v>Discount</x:v>
      </x:c>
      <x:c r="M1" s="5" t="str">
        <x:v>Unit_Price</x:v>
      </x:c>
      <x:c r="N1" s="5" t="str">
        <x:v>Unit_Cost</x:v>
      </x:c>
      <x:c r="O1" s="5" t="str">
        <x:v>Gross_Sales</x:v>
      </x:c>
      <x:c r="P1" s="5" t="str">
        <x:v>Net_Sales</x:v>
      </x:c>
      <x:c r="Q1" s="5" t="str">
        <x:v>Total_Cost</x:v>
      </x:c>
      <x:c r="R1" s="5" t="str">
        <x:v>Profit</x:v>
      </x:c>
      <x:c r="S1" s="5" t="str">
        <x:v>Margin</x:v>
      </x:c>
    </x:row>
    <x:row r="2" ht="15" hidden="0" customHeight="1">
      <x:c r="A2" t="str">
        <x:f>Raw_Orders!A2</x:f>
        <x:v>O0001</x:v>
      </x:c>
      <x:c r="B2" s="10" t="n">
        <x:f>Raw_Orders!B2</x:f>
        <x:v>45985</x:v>
      </x:c>
      <x:c r="C2" t="str">
        <x:f>Raw_Orders!C2</x:f>
        <x:v>C015</x:v>
      </x:c>
      <x:c r="D2" t="str">
        <x:f>INDEX(Customers!$B$2:$B$81,MATCH(C2,Customers!$A$2:$A$81,0))</x:f>
        <x:v>Customer 15</x:v>
      </x:c>
      <x:c r="E2" t="str">
        <x:f>INDEX(Customers!$C$2:$C$81,MATCH(C2,Customers!$A$2:$A$81,0))</x:f>
        <x:v>Small Business</x:v>
      </x:c>
      <x:c r="F2" t="str">
        <x:f>INDEX(Customers!$D$2:$D$81,MATCH(C2,Customers!$A$2:$A$81,0))</x:f>
        <x:v>East</x:v>
      </x:c>
      <x:c r="G2" t="str">
        <x:f>Raw_Orders!D2</x:f>
        <x:v>P001</x:v>
      </x:c>
      <x:c r="H2" t="str">
        <x:f>INDEX(Products!$B$2:$B$13,MATCH(G2,Products!$A$2:$A$13,0))</x:f>
        <x:v>Wireless Headset</x:v>
      </x:c>
      <x:c r="I2" t="str">
        <x:f>INDEX(Products!$C$2:$C$13,MATCH(G2,Products!$A$2:$A$13,0))</x:f>
        <x:v>Accessories</x:v>
      </x:c>
      <x:c r="J2" t="str">
        <x:f>Raw_Orders!G2</x:f>
        <x:v>Online</x:v>
      </x:c>
      <x:c r="K2" t="n">
        <x:f>Raw_Orders!E2</x:f>
        <x:v>6</x:v>
      </x:c>
      <x:c r="L2" s="12" t="n">
        <x:f>Raw_Orders!F2</x:f>
        <x:v>0</x:v>
      </x:c>
      <x:c r="M2" s="14" t="n">
        <x:f>INDEX(Products!$D$2:$D$13,MATCH(G2,Products!$A$2:$A$13,0))</x:f>
        <x:v>85</x:v>
      </x:c>
      <x:c r="N2" s="14" t="n">
        <x:f>INDEX(Products!$E$2:$E$13,MATCH(G2,Products!$A$2:$A$13,0))</x:f>
        <x:v>42</x:v>
      </x:c>
      <x:c r="O2" s="14" t="n">
        <x:f>K2*M2</x:f>
        <x:v>510</x:v>
      </x:c>
      <x:c r="P2" s="14" t="n">
        <x:f>O2*(1-L2)</x:f>
        <x:v>510</x:v>
      </x:c>
      <x:c r="Q2" s="14" t="n">
        <x:f>K2*N2</x:f>
        <x:v>252</x:v>
      </x:c>
      <x:c r="R2" s="14" t="n">
        <x:f>P2-Q2</x:f>
        <x:v>258</x:v>
      </x:c>
      <x:c r="S2" s="16" t="n">
        <x:f>IFERROR(R2/P2,0)</x:f>
        <x:v>0.5058823529411764</x:v>
      </x:c>
    </x:row>
    <x:row r="3" ht="15" hidden="0" customHeight="1">
      <x:c r="A3" t="str">
        <x:f>Raw_Orders!A3</x:f>
        <x:v>O0002</x:v>
      </x:c>
      <x:c r="B3" s="10" t="n">
        <x:f>Raw_Orders!B3</x:f>
        <x:v>45772</x:v>
      </x:c>
      <x:c r="C3" t="str">
        <x:f>Raw_Orders!C3</x:f>
        <x:v>C018</x:v>
      </x:c>
      <x:c r="D3" t="str">
        <x:f>INDEX(Customers!$B$2:$B$81,MATCH(C3,Customers!$A$2:$A$81,0))</x:f>
        <x:v>Customer 18</x:v>
      </x:c>
      <x:c r="E3" t="str">
        <x:f>INDEX(Customers!$C$2:$C$81,MATCH(C3,Customers!$A$2:$A$81,0))</x:f>
        <x:v>Small Business</x:v>
      </x:c>
      <x:c r="F3" t="str">
        <x:f>INDEX(Customers!$D$2:$D$81,MATCH(C3,Customers!$A$2:$A$81,0))</x:f>
        <x:v>South</x:v>
      </x:c>
      <x:c r="G3" t="str">
        <x:f>Raw_Orders!D3</x:f>
        <x:v>P012</x:v>
      </x:c>
      <x:c r="H3" t="str">
        <x:f>INDEX(Products!$B$2:$B$13,MATCH(G3,Products!$A$2:$A$13,0))</x:f>
        <x:v>Docking Station</x:v>
      </x:c>
      <x:c r="I3" t="str">
        <x:f>INDEX(Products!$C$2:$C$13,MATCH(G3,Products!$A$2:$A$13,0))</x:f>
        <x:v>Accessories</x:v>
      </x:c>
      <x:c r="J3" t="str">
        <x:f>Raw_Orders!G3</x:f>
        <x:v>Partner</x:v>
      </x:c>
      <x:c r="K3" t="n">
        <x:f>Raw_Orders!E3</x:f>
        <x:v>1</x:v>
      </x:c>
      <x:c r="L3" s="12" t="n">
        <x:f>Raw_Orders!F3</x:f>
        <x:v>0.15</x:v>
      </x:c>
      <x:c r="M3" s="14" t="n">
        <x:f>INDEX(Products!$D$2:$D$13,MATCH(G3,Products!$A$2:$A$13,0))</x:f>
        <x:v>180</x:v>
      </x:c>
      <x:c r="N3" s="14" t="n">
        <x:f>INDEX(Products!$E$2:$E$13,MATCH(G3,Products!$A$2:$A$13,0))</x:f>
        <x:v>104</x:v>
      </x:c>
      <x:c r="O3" s="14" t="n">
        <x:f>K3*M3</x:f>
        <x:v>180</x:v>
      </x:c>
      <x:c r="P3" s="14" t="n">
        <x:f>O3*(1-L3)</x:f>
        <x:v>153</x:v>
      </x:c>
      <x:c r="Q3" s="14" t="n">
        <x:f>K3*N3</x:f>
        <x:v>104</x:v>
      </x:c>
      <x:c r="R3" s="14" t="n">
        <x:f>P3-Q3</x:f>
        <x:v>49</x:v>
      </x:c>
      <x:c r="S3" s="16" t="n">
        <x:f>IFERROR(R3/P3,0)</x:f>
        <x:v>0.3202614379084967</x:v>
      </x:c>
    </x:row>
    <x:row r="4" ht="15" hidden="0" customHeight="1">
      <x:c r="A4" t="str">
        <x:f>Raw_Orders!A4</x:f>
        <x:v>O0003</x:v>
      </x:c>
      <x:c r="B4" s="10" t="n">
        <x:f>Raw_Orders!B4</x:f>
        <x:v>45937</x:v>
      </x:c>
      <x:c r="C4" t="str">
        <x:f>Raw_Orders!C4</x:f>
        <x:v>C012</x:v>
      </x:c>
      <x:c r="D4" t="str">
        <x:f>INDEX(Customers!$B$2:$B$81,MATCH(C4,Customers!$A$2:$A$81,0))</x:f>
        <x:v>Customer 12</x:v>
      </x:c>
      <x:c r="E4" t="str">
        <x:f>INDEX(Customers!$C$2:$C$81,MATCH(C4,Customers!$A$2:$A$81,0))</x:f>
        <x:v>Small Business</x:v>
      </x:c>
      <x:c r="F4" t="str">
        <x:f>INDEX(Customers!$D$2:$D$81,MATCH(C4,Customers!$A$2:$A$81,0))</x:f>
        <x:v>West</x:v>
      </x:c>
      <x:c r="G4" t="str">
        <x:f>Raw_Orders!D4</x:f>
        <x:v>P010</x:v>
      </x:c>
      <x:c r="H4" t="str">
        <x:f>INDEX(Products!$B$2:$B$13,MATCH(G4,Products!$A$2:$A$13,0))</x:f>
        <x:v>Portable SSD</x:v>
      </x:c>
      <x:c r="I4" t="str">
        <x:f>INDEX(Products!$C$2:$C$13,MATCH(G4,Products!$A$2:$A$13,0))</x:f>
        <x:v>Storage</x:v>
      </x:c>
      <x:c r="J4" t="str">
        <x:f>Raw_Orders!G4</x:f>
        <x:v>Online</x:v>
      </x:c>
      <x:c r="K4" t="n">
        <x:f>Raw_Orders!E4</x:f>
        <x:v>4</x:v>
      </x:c>
      <x:c r="L4" s="12" t="n">
        <x:f>Raw_Orders!F4</x:f>
        <x:v>0</x:v>
      </x:c>
      <x:c r="M4" s="14" t="n">
        <x:f>INDEX(Products!$D$2:$D$13,MATCH(G4,Products!$A$2:$A$13,0))</x:f>
        <x:v>145</x:v>
      </x:c>
      <x:c r="N4" s="14" t="n">
        <x:f>INDEX(Products!$E$2:$E$13,MATCH(G4,Products!$A$2:$A$13,0))</x:f>
        <x:v>86</x:v>
      </x:c>
      <x:c r="O4" s="14" t="n">
        <x:f>K4*M4</x:f>
        <x:v>580</x:v>
      </x:c>
      <x:c r="P4" s="14" t="n">
        <x:f>O4*(1-L4)</x:f>
        <x:v>580</x:v>
      </x:c>
      <x:c r="Q4" s="14" t="n">
        <x:f>K4*N4</x:f>
        <x:v>344</x:v>
      </x:c>
      <x:c r="R4" s="14" t="n">
        <x:f>P4-Q4</x:f>
        <x:v>236</x:v>
      </x:c>
      <x:c r="S4" s="16" t="n">
        <x:f>IFERROR(R4/P4,0)</x:f>
        <x:v>0.4068965517241379</x:v>
      </x:c>
    </x:row>
    <x:row r="5" ht="15" hidden="0" customHeight="1">
      <x:c r="A5" t="str">
        <x:f>Raw_Orders!A5</x:f>
        <x:v>O0004</x:v>
      </x:c>
      <x:c r="B5" s="10" t="n">
        <x:f>Raw_Orders!B5</x:f>
        <x:v>45705</x:v>
      </x:c>
      <x:c r="C5" t="str">
        <x:f>Raw_Orders!C5</x:f>
        <x:v>C028</x:v>
      </x:c>
      <x:c r="D5" t="str">
        <x:f>INDEX(Customers!$B$2:$B$81,MATCH(C5,Customers!$A$2:$A$81,0))</x:f>
        <x:v>Customer 28</x:v>
      </x:c>
      <x:c r="E5" t="str">
        <x:f>INDEX(Customers!$C$2:$C$81,MATCH(C5,Customers!$A$2:$A$81,0))</x:f>
        <x:v>Consumer</x:v>
      </x:c>
      <x:c r="F5" t="str">
        <x:f>INDEX(Customers!$D$2:$D$81,MATCH(C5,Customers!$A$2:$A$81,0))</x:f>
        <x:v>West</x:v>
      </x:c>
      <x:c r="G5" t="str">
        <x:f>Raw_Orders!D5</x:f>
        <x:v>P004</x:v>
      </x:c>
      <x:c r="H5" t="str">
        <x:f>INDEX(Products!$B$2:$B$13,MATCH(G5,Products!$A$2:$A$13,0))</x:f>
        <x:v>24in Monitor</x:v>
      </x:c>
      <x:c r="I5" t="str">
        <x:f>INDEX(Products!$C$2:$C$13,MATCH(G5,Products!$A$2:$A$13,0))</x:f>
        <x:v>Displays</x:v>
      </x:c>
      <x:c r="J5" t="str">
        <x:f>Raw_Orders!G5</x:f>
        <x:v>Online</x:v>
      </x:c>
      <x:c r="K5" t="n">
        <x:f>Raw_Orders!E5</x:f>
        <x:v>5</x:v>
      </x:c>
      <x:c r="L5" s="12" t="n">
        <x:f>Raw_Orders!F5</x:f>
        <x:v>0.1</x:v>
      </x:c>
      <x:c r="M5" s="14" t="n">
        <x:f>INDEX(Products!$D$2:$D$13,MATCH(G5,Products!$A$2:$A$13,0))</x:f>
        <x:v>220</x:v>
      </x:c>
      <x:c r="N5" s="14" t="n">
        <x:f>INDEX(Products!$E$2:$E$13,MATCH(G5,Products!$A$2:$A$13,0))</x:f>
        <x:v>142</x:v>
      </x:c>
      <x:c r="O5" s="14" t="n">
        <x:f>K5*M5</x:f>
        <x:v>1100</x:v>
      </x:c>
      <x:c r="P5" s="14" t="n">
        <x:f>O5*(1-L5)</x:f>
        <x:v>990</x:v>
      </x:c>
      <x:c r="Q5" s="14" t="n">
        <x:f>K5*N5</x:f>
        <x:v>710</x:v>
      </x:c>
      <x:c r="R5" s="14" t="n">
        <x:f>P5-Q5</x:f>
        <x:v>280</x:v>
      </x:c>
      <x:c r="S5" s="16" t="n">
        <x:f>IFERROR(R5/P5,0)</x:f>
        <x:v>0.2828282828282828</x:v>
      </x:c>
    </x:row>
    <x:row r="6" ht="15" hidden="0" customHeight="1">
      <x:c r="A6" t="str">
        <x:f>Raw_Orders!A6</x:f>
        <x:v>O0005</x:v>
      </x:c>
      <x:c r="B6" s="10" t="n">
        <x:f>Raw_Orders!B6</x:f>
        <x:v>45945</x:v>
      </x:c>
      <x:c r="C6" t="str">
        <x:f>Raw_Orders!C6</x:f>
        <x:v>C026</x:v>
      </x:c>
      <x:c r="D6" t="str">
        <x:f>INDEX(Customers!$B$2:$B$81,MATCH(C6,Customers!$A$2:$A$81,0))</x:f>
        <x:v>Customer 26</x:v>
      </x:c>
      <x:c r="E6" t="str">
        <x:f>INDEX(Customers!$C$2:$C$81,MATCH(C6,Customers!$A$2:$A$81,0))</x:f>
        <x:v>Corporate</x:v>
      </x:c>
      <x:c r="F6" t="str">
        <x:f>INDEX(Customers!$D$2:$D$81,MATCH(C6,Customers!$A$2:$A$81,0))</x:f>
        <x:v>South</x:v>
      </x:c>
      <x:c r="G6" t="str">
        <x:f>Raw_Orders!D6</x:f>
        <x:v>P012</x:v>
      </x:c>
      <x:c r="H6" t="str">
        <x:f>INDEX(Products!$B$2:$B$13,MATCH(G6,Products!$A$2:$A$13,0))</x:f>
        <x:v>Docking Station</x:v>
      </x:c>
      <x:c r="I6" t="str">
        <x:f>INDEX(Products!$C$2:$C$13,MATCH(G6,Products!$A$2:$A$13,0))</x:f>
        <x:v>Accessories</x:v>
      </x:c>
      <x:c r="J6" t="str">
        <x:f>Raw_Orders!G6</x:f>
        <x:v>Partner</x:v>
      </x:c>
      <x:c r="K6" t="n">
        <x:f>Raw_Orders!E6</x:f>
        <x:v>6</x:v>
      </x:c>
      <x:c r="L6" s="12" t="n">
        <x:f>Raw_Orders!F6</x:f>
        <x:v>0.15</x:v>
      </x:c>
      <x:c r="M6" s="14" t="n">
        <x:f>INDEX(Products!$D$2:$D$13,MATCH(G6,Products!$A$2:$A$13,0))</x:f>
        <x:v>180</x:v>
      </x:c>
      <x:c r="N6" s="14" t="n">
        <x:f>INDEX(Products!$E$2:$E$13,MATCH(G6,Products!$A$2:$A$13,0))</x:f>
        <x:v>104</x:v>
      </x:c>
      <x:c r="O6" s="14" t="n">
        <x:f>K6*M6</x:f>
        <x:v>1080</x:v>
      </x:c>
      <x:c r="P6" s="14" t="n">
        <x:f>O6*(1-L6)</x:f>
        <x:v>918</x:v>
      </x:c>
      <x:c r="Q6" s="14" t="n">
        <x:f>K6*N6</x:f>
        <x:v>624</x:v>
      </x:c>
      <x:c r="R6" s="14" t="n">
        <x:f>P6-Q6</x:f>
        <x:v>294</x:v>
      </x:c>
      <x:c r="S6" s="16" t="n">
        <x:f>IFERROR(R6/P6,0)</x:f>
        <x:v>0.3202614379084967</x:v>
      </x:c>
    </x:row>
    <x:row r="7" ht="15" hidden="0" customHeight="1">
      <x:c r="A7" t="str">
        <x:f>Raw_Orders!A7</x:f>
        <x:v>O0006</x:v>
      </x:c>
      <x:c r="B7" s="10" t="n">
        <x:f>Raw_Orders!B7</x:f>
        <x:v>45872</x:v>
      </x:c>
      <x:c r="C7" t="str">
        <x:f>Raw_Orders!C7</x:f>
        <x:v>C029</x:v>
      </x:c>
      <x:c r="D7" t="str">
        <x:f>INDEX(Customers!$B$2:$B$81,MATCH(C7,Customers!$A$2:$A$81,0))</x:f>
        <x:v>Customer 29</x:v>
      </x:c>
      <x:c r="E7" t="str">
        <x:f>INDEX(Customers!$C$2:$C$81,MATCH(C7,Customers!$A$2:$A$81,0))</x:f>
        <x:v>Corporate</x:v>
      </x:c>
      <x:c r="F7" t="str">
        <x:f>INDEX(Customers!$D$2:$D$81,MATCH(C7,Customers!$A$2:$A$81,0))</x:f>
        <x:v>North</x:v>
      </x:c>
      <x:c r="G7" t="str">
        <x:f>Raw_Orders!D7</x:f>
        <x:v>P008</x:v>
      </x:c>
      <x:c r="H7" t="str">
        <x:f>INDEX(Products!$B$2:$B$13,MATCH(G7,Products!$A$2:$A$13,0))</x:f>
        <x:v>Webcam</x:v>
      </x:c>
      <x:c r="I7" t="str">
        <x:f>INDEX(Products!$C$2:$C$13,MATCH(G7,Products!$A$2:$A$13,0))</x:f>
        <x:v>Accessories</x:v>
      </x:c>
      <x:c r="J7" t="str">
        <x:f>Raw_Orders!G7</x:f>
        <x:v>Online</x:v>
      </x:c>
      <x:c r="K7" t="n">
        <x:f>Raw_Orders!E7</x:f>
        <x:v>5</x:v>
      </x:c>
      <x:c r="L7" s="12" t="n">
        <x:f>Raw_Orders!F7</x:f>
        <x:v>0</x:v>
      </x:c>
      <x:c r="M7" s="14" t="n">
        <x:f>INDEX(Products!$D$2:$D$13,MATCH(G7,Products!$A$2:$A$13,0))</x:f>
        <x:v>95</x:v>
      </x:c>
      <x:c r="N7" s="14" t="n">
        <x:f>INDEX(Products!$E$2:$E$13,MATCH(G7,Products!$A$2:$A$13,0))</x:f>
        <x:v>49</x:v>
      </x:c>
      <x:c r="O7" s="14" t="n">
        <x:f>K7*M7</x:f>
        <x:v>475</x:v>
      </x:c>
      <x:c r="P7" s="14" t="n">
        <x:f>O7*(1-L7)</x:f>
        <x:v>475</x:v>
      </x:c>
      <x:c r="Q7" s="14" t="n">
        <x:f>K7*N7</x:f>
        <x:v>245</x:v>
      </x:c>
      <x:c r="R7" s="14" t="n">
        <x:f>P7-Q7</x:f>
        <x:v>230</x:v>
      </x:c>
      <x:c r="S7" s="16" t="n">
        <x:f>IFERROR(R7/P7,0)</x:f>
        <x:v>0.4842105263157895</x:v>
      </x:c>
    </x:row>
    <x:row r="8" ht="15" hidden="0" customHeight="1">
      <x:c r="A8" t="str">
        <x:f>Raw_Orders!A8</x:f>
        <x:v>O0007</x:v>
      </x:c>
      <x:c r="B8" s="10" t="n">
        <x:f>Raw_Orders!B8</x:f>
        <x:v>45739</x:v>
      </x:c>
      <x:c r="C8" t="str">
        <x:f>Raw_Orders!C8</x:f>
        <x:v>C055</x:v>
      </x:c>
      <x:c r="D8" t="str">
        <x:f>INDEX(Customers!$B$2:$B$81,MATCH(C8,Customers!$A$2:$A$81,0))</x:f>
        <x:v>Customer 55</x:v>
      </x:c>
      <x:c r="E8" t="str">
        <x:f>INDEX(Customers!$C$2:$C$81,MATCH(C8,Customers!$A$2:$A$81,0))</x:f>
        <x:v>Consumer</x:v>
      </x:c>
      <x:c r="F8" t="str">
        <x:f>INDEX(Customers!$D$2:$D$81,MATCH(C8,Customers!$A$2:$A$81,0))</x:f>
        <x:v>East</x:v>
      </x:c>
      <x:c r="G8" t="str">
        <x:f>Raw_Orders!D8</x:f>
        <x:v>P006</x:v>
      </x:c>
      <x:c r="H8" t="str">
        <x:f>INDEX(Products!$B$2:$B$13,MATCH(G8,Products!$A$2:$A$13,0))</x:f>
        <x:v>Laptop Stand</x:v>
      </x:c>
      <x:c r="I8" t="str">
        <x:f>INDEX(Products!$C$2:$C$13,MATCH(G8,Products!$A$2:$A$13,0))</x:f>
        <x:v>Office</x:v>
      </x:c>
      <x:c r="J8" t="str">
        <x:f>Raw_Orders!G8</x:f>
        <x:v>Online</x:v>
      </x:c>
      <x:c r="K8" t="n">
        <x:f>Raw_Orders!E8</x:f>
        <x:v>3</x:v>
      </x:c>
      <x:c r="L8" s="12" t="n">
        <x:f>Raw_Orders!F8</x:f>
        <x:v>0</x:v>
      </x:c>
      <x:c r="M8" s="14" t="n">
        <x:f>INDEX(Products!$D$2:$D$13,MATCH(G8,Products!$A$2:$A$13,0))</x:f>
        <x:v>55</x:v>
      </x:c>
      <x:c r="N8" s="14" t="n">
        <x:f>INDEX(Products!$E$2:$E$13,MATCH(G8,Products!$A$2:$A$13,0))</x:f>
        <x:v>24</x:v>
      </x:c>
      <x:c r="O8" s="14" t="n">
        <x:f>K8*M8</x:f>
        <x:v>165</x:v>
      </x:c>
      <x:c r="P8" s="14" t="n">
        <x:f>O8*(1-L8)</x:f>
        <x:v>165</x:v>
      </x:c>
      <x:c r="Q8" s="14" t="n">
        <x:f>K8*N8</x:f>
        <x:v>72</x:v>
      </x:c>
      <x:c r="R8" s="14" t="n">
        <x:f>P8-Q8</x:f>
        <x:v>93</x:v>
      </x:c>
      <x:c r="S8" s="16" t="n">
        <x:f>IFERROR(R8/P8,0)</x:f>
        <x:v>0.5636363636363636</x:v>
      </x:c>
    </x:row>
    <x:row r="9" ht="15" hidden="0" customHeight="1">
      <x:c r="A9" t="str">
        <x:f>Raw_Orders!A9</x:f>
        <x:v>O0008</x:v>
      </x:c>
      <x:c r="B9" s="10" t="n">
        <x:f>Raw_Orders!B9</x:f>
        <x:v>45830</x:v>
      </x:c>
      <x:c r="C9" t="str">
        <x:f>Raw_Orders!C9</x:f>
        <x:v>C014</x:v>
      </x:c>
      <x:c r="D9" t="str">
        <x:f>INDEX(Customers!$B$2:$B$81,MATCH(C9,Customers!$A$2:$A$81,0))</x:f>
        <x:v>Customer 14</x:v>
      </x:c>
      <x:c r="E9" t="str">
        <x:f>INDEX(Customers!$C$2:$C$81,MATCH(C9,Customers!$A$2:$A$81,0))</x:f>
        <x:v>Corporate</x:v>
      </x:c>
      <x:c r="F9" t="str">
        <x:f>INDEX(Customers!$D$2:$D$81,MATCH(C9,Customers!$A$2:$A$81,0))</x:f>
        <x:v>South</x:v>
      </x:c>
      <x:c r="G9" t="str">
        <x:f>Raw_Orders!D9</x:f>
        <x:v>P002</x:v>
      </x:c>
      <x:c r="H9" t="str">
        <x:f>INDEX(Products!$B$2:$B$13,MATCH(G9,Products!$A$2:$A$13,0))</x:f>
        <x:v>Mechanical Keyboard</x:v>
      </x:c>
      <x:c r="I9" t="str">
        <x:f>INDEX(Products!$C$2:$C$13,MATCH(G9,Products!$A$2:$A$13,0))</x:f>
        <x:v>Accessories</x:v>
      </x:c>
      <x:c r="J9" t="str">
        <x:f>Raw_Orders!G9</x:f>
        <x:v>Retail</x:v>
      </x:c>
      <x:c r="K9" t="n">
        <x:f>Raw_Orders!E9</x:f>
        <x:v>4</x:v>
      </x:c>
      <x:c r="L9" s="12" t="n">
        <x:f>Raw_Orders!F9</x:f>
        <x:v>0</x:v>
      </x:c>
      <x:c r="M9" s="14" t="n">
        <x:f>INDEX(Products!$D$2:$D$13,MATCH(G9,Products!$A$2:$A$13,0))</x:f>
        <x:v>110</x:v>
      </x:c>
      <x:c r="N9" s="14" t="n">
        <x:f>INDEX(Products!$E$2:$E$13,MATCH(G9,Products!$A$2:$A$13,0))</x:f>
        <x:v>58</x:v>
      </x:c>
      <x:c r="O9" s="14" t="n">
        <x:f>K9*M9</x:f>
        <x:v>440</x:v>
      </x:c>
      <x:c r="P9" s="14" t="n">
        <x:f>O9*(1-L9)</x:f>
        <x:v>440</x:v>
      </x:c>
      <x:c r="Q9" s="14" t="n">
        <x:f>K9*N9</x:f>
        <x:v>232</x:v>
      </x:c>
      <x:c r="R9" s="14" t="n">
        <x:f>P9-Q9</x:f>
        <x:v>208</x:v>
      </x:c>
      <x:c r="S9" s="16" t="n">
        <x:f>IFERROR(R9/P9,0)</x:f>
        <x:v>0.4727272727272727</x:v>
      </x:c>
    </x:row>
    <x:row r="10" ht="15" hidden="0" customHeight="1">
      <x:c r="A10" t="str">
        <x:f>Raw_Orders!A10</x:f>
        <x:v>O0009</x:v>
      </x:c>
      <x:c r="B10" s="10" t="n">
        <x:f>Raw_Orders!B10</x:f>
        <x:v>45834</x:v>
      </x:c>
      <x:c r="C10" t="str">
        <x:f>Raw_Orders!C10</x:f>
        <x:v>C078</x:v>
      </x:c>
      <x:c r="D10" t="str">
        <x:f>INDEX(Customers!$B$2:$B$81,MATCH(C10,Customers!$A$2:$A$81,0))</x:f>
        <x:v>Customer 78</x:v>
      </x:c>
      <x:c r="E10" t="str">
        <x:f>INDEX(Customers!$C$2:$C$81,MATCH(C10,Customers!$A$2:$A$81,0))</x:f>
        <x:v>Small Business</x:v>
      </x:c>
      <x:c r="F10" t="str">
        <x:f>INDEX(Customers!$D$2:$D$81,MATCH(C10,Customers!$A$2:$A$81,0))</x:f>
        <x:v>South</x:v>
      </x:c>
      <x:c r="G10" t="str">
        <x:f>Raw_Orders!D10</x:f>
        <x:v>P005</x:v>
      </x:c>
      <x:c r="H10" t="str">
        <x:f>INDEX(Products!$B$2:$B$13,MATCH(G10,Products!$A$2:$A$13,0))</x:f>
        <x:v>27in Monitor</x:v>
      </x:c>
      <x:c r="I10" t="str">
        <x:f>INDEX(Products!$C$2:$C$13,MATCH(G10,Products!$A$2:$A$13,0))</x:f>
        <x:v>Displays</x:v>
      </x:c>
      <x:c r="J10" t="str">
        <x:f>Raw_Orders!G10</x:f>
        <x:v>Retail</x:v>
      </x:c>
      <x:c r="K10" t="n">
        <x:f>Raw_Orders!E10</x:f>
        <x:v>1</x:v>
      </x:c>
      <x:c r="L10" s="12" t="n">
        <x:f>Raw_Orders!F10</x:f>
        <x:v>0.15</x:v>
      </x:c>
      <x:c r="M10" s="14" t="n">
        <x:f>INDEX(Products!$D$2:$D$13,MATCH(G10,Products!$A$2:$A$13,0))</x:f>
        <x:v>310</x:v>
      </x:c>
      <x:c r="N10" s="14" t="n">
        <x:f>INDEX(Products!$E$2:$E$13,MATCH(G10,Products!$A$2:$A$13,0))</x:f>
        <x:v>205</x:v>
      </x:c>
      <x:c r="O10" s="14" t="n">
        <x:f>K10*M10</x:f>
        <x:v>310</x:v>
      </x:c>
      <x:c r="P10" s="14" t="n">
        <x:f>O10*(1-L10)</x:f>
        <x:v>263.5</x:v>
      </x:c>
      <x:c r="Q10" s="14" t="n">
        <x:f>K10*N10</x:f>
        <x:v>205</x:v>
      </x:c>
      <x:c r="R10" s="14" t="n">
        <x:f>P10-Q10</x:f>
        <x:v>58.5</x:v>
      </x:c>
      <x:c r="S10" s="16" t="n">
        <x:f>IFERROR(R10/P10,0)</x:f>
        <x:v>0.222011385199241</x:v>
      </x:c>
    </x:row>
    <x:row r="11" ht="15" hidden="0" customHeight="1">
      <x:c r="A11" t="str">
        <x:f>Raw_Orders!A11</x:f>
        <x:v>O0010</x:v>
      </x:c>
      <x:c r="B11" s="10" t="n">
        <x:f>Raw_Orders!B11</x:f>
        <x:v>45932</x:v>
      </x:c>
      <x:c r="C11" t="str">
        <x:f>Raw_Orders!C11</x:f>
        <x:v>C016</x:v>
      </x:c>
      <x:c r="D11" t="str">
        <x:f>INDEX(Customers!$B$2:$B$81,MATCH(C11,Customers!$A$2:$A$81,0))</x:f>
        <x:v>Customer 16</x:v>
      </x:c>
      <x:c r="E11" t="str">
        <x:f>INDEX(Customers!$C$2:$C$81,MATCH(C11,Customers!$A$2:$A$81,0))</x:f>
        <x:v>Consumer</x:v>
      </x:c>
      <x:c r="F11" t="str">
        <x:f>INDEX(Customers!$D$2:$D$81,MATCH(C11,Customers!$A$2:$A$81,0))</x:f>
        <x:v>West</x:v>
      </x:c>
      <x:c r="G11" t="str">
        <x:f>Raw_Orders!D11</x:f>
        <x:v>P007</x:v>
      </x:c>
      <x:c r="H11" t="str">
        <x:f>INDEX(Products!$B$2:$B$13,MATCH(G11,Products!$A$2:$A$13,0))</x:f>
        <x:v>Ergonomic Chair</x:v>
      </x:c>
      <x:c r="I11" t="str">
        <x:f>INDEX(Products!$C$2:$C$13,MATCH(G11,Products!$A$2:$A$13,0))</x:f>
        <x:v>Office</x:v>
      </x:c>
      <x:c r="J11" t="str">
        <x:f>Raw_Orders!G11</x:f>
        <x:v>Retail</x:v>
      </x:c>
      <x:c r="K11" t="n">
        <x:f>Raw_Orders!E11</x:f>
        <x:v>1</x:v>
      </x:c>
      <x:c r="L11" s="12" t="n">
        <x:f>Raw_Orders!F11</x:f>
        <x:v>0.1</x:v>
      </x:c>
      <x:c r="M11" s="14" t="n">
        <x:f>INDEX(Products!$D$2:$D$13,MATCH(G11,Products!$A$2:$A$13,0))</x:f>
        <x:v>390</x:v>
      </x:c>
      <x:c r="N11" s="14" t="n">
        <x:f>INDEX(Products!$E$2:$E$13,MATCH(G11,Products!$A$2:$A$13,0))</x:f>
        <x:v>245</x:v>
      </x:c>
      <x:c r="O11" s="14" t="n">
        <x:f>K11*M11</x:f>
        <x:v>390</x:v>
      </x:c>
      <x:c r="P11" s="14" t="n">
        <x:f>O11*(1-L11)</x:f>
        <x:v>351</x:v>
      </x:c>
      <x:c r="Q11" s="14" t="n">
        <x:f>K11*N11</x:f>
        <x:v>245</x:v>
      </x:c>
      <x:c r="R11" s="14" t="n">
        <x:f>P11-Q11</x:f>
        <x:v>106</x:v>
      </x:c>
      <x:c r="S11" s="16" t="n">
        <x:f>IFERROR(R11/P11,0)</x:f>
        <x:v>0.301994301994302</x:v>
      </x:c>
    </x:row>
    <x:row r="12" ht="15" hidden="0" customHeight="1">
      <x:c r="A12" t="str">
        <x:f>Raw_Orders!A12</x:f>
        <x:v>O0011</x:v>
      </x:c>
      <x:c r="B12" s="10" t="n">
        <x:f>Raw_Orders!B12</x:f>
        <x:v>45979</x:v>
      </x:c>
      <x:c r="C12" t="str">
        <x:f>Raw_Orders!C12</x:f>
        <x:v>C080</x:v>
      </x:c>
      <x:c r="D12" t="str">
        <x:f>INDEX(Customers!$B$2:$B$81,MATCH(C12,Customers!$A$2:$A$81,0))</x:f>
        <x:v>Customer 80</x:v>
      </x:c>
      <x:c r="E12" t="str">
        <x:f>INDEX(Customers!$C$2:$C$81,MATCH(C12,Customers!$A$2:$A$81,0))</x:f>
        <x:v>Corporate</x:v>
      </x:c>
      <x:c r="F12" t="str">
        <x:f>INDEX(Customers!$D$2:$D$81,MATCH(C12,Customers!$A$2:$A$81,0))</x:f>
        <x:v>West</x:v>
      </x:c>
      <x:c r="G12" t="str">
        <x:f>Raw_Orders!D12</x:f>
        <x:v>P006</x:v>
      </x:c>
      <x:c r="H12" t="str">
        <x:f>INDEX(Products!$B$2:$B$13,MATCH(G12,Products!$A$2:$A$13,0))</x:f>
        <x:v>Laptop Stand</x:v>
      </x:c>
      <x:c r="I12" t="str">
        <x:f>INDEX(Products!$C$2:$C$13,MATCH(G12,Products!$A$2:$A$13,0))</x:f>
        <x:v>Office</x:v>
      </x:c>
      <x:c r="J12" t="str">
        <x:f>Raw_Orders!G12</x:f>
        <x:v>Partner</x:v>
      </x:c>
      <x:c r="K12" t="n">
        <x:f>Raw_Orders!E12</x:f>
        <x:v>5</x:v>
      </x:c>
      <x:c r="L12" s="12" t="n">
        <x:f>Raw_Orders!F12</x:f>
        <x:v>0</x:v>
      </x:c>
      <x:c r="M12" s="14" t="n">
        <x:f>INDEX(Products!$D$2:$D$13,MATCH(G12,Products!$A$2:$A$13,0))</x:f>
        <x:v>55</x:v>
      </x:c>
      <x:c r="N12" s="14" t="n">
        <x:f>INDEX(Products!$E$2:$E$13,MATCH(G12,Products!$A$2:$A$13,0))</x:f>
        <x:v>24</x:v>
      </x:c>
      <x:c r="O12" s="14" t="n">
        <x:f>K12*M12</x:f>
        <x:v>275</x:v>
      </x:c>
      <x:c r="P12" s="14" t="n">
        <x:f>O12*(1-L12)</x:f>
        <x:v>275</x:v>
      </x:c>
      <x:c r="Q12" s="14" t="n">
        <x:f>K12*N12</x:f>
        <x:v>120</x:v>
      </x:c>
      <x:c r="R12" s="14" t="n">
        <x:f>P12-Q12</x:f>
        <x:v>155</x:v>
      </x:c>
      <x:c r="S12" s="16" t="n">
        <x:f>IFERROR(R12/P12,0)</x:f>
        <x:v>0.5636363636363636</x:v>
      </x:c>
    </x:row>
    <x:row r="13" ht="15" hidden="0" customHeight="1">
      <x:c r="A13" t="str">
        <x:f>Raw_Orders!A13</x:f>
        <x:v>O0012</x:v>
      </x:c>
      <x:c r="B13" s="10" t="n">
        <x:f>Raw_Orders!B13</x:f>
        <x:v>45693</x:v>
      </x:c>
      <x:c r="C13" t="str">
        <x:f>Raw_Orders!C13</x:f>
        <x:v>C006</x:v>
      </x:c>
      <x:c r="D13" t="str">
        <x:f>INDEX(Customers!$B$2:$B$81,MATCH(C13,Customers!$A$2:$A$81,0))</x:f>
        <x:v>Customer 06</x:v>
      </x:c>
      <x:c r="E13" t="str">
        <x:f>INDEX(Customers!$C$2:$C$81,MATCH(C13,Customers!$A$2:$A$81,0))</x:f>
        <x:v>Small Business</x:v>
      </x:c>
      <x:c r="F13" t="str">
        <x:f>INDEX(Customers!$D$2:$D$81,MATCH(C13,Customers!$A$2:$A$81,0))</x:f>
        <x:v>South</x:v>
      </x:c>
      <x:c r="G13" t="str">
        <x:f>Raw_Orders!D13</x:f>
        <x:v>P011</x:v>
      </x:c>
      <x:c r="H13" t="str">
        <x:f>INDEX(Products!$B$2:$B$13,MATCH(G13,Products!$A$2:$A$13,0))</x:f>
        <x:v>External HDD</x:v>
      </x:c>
      <x:c r="I13" t="str">
        <x:f>INDEX(Products!$C$2:$C$13,MATCH(G13,Products!$A$2:$A$13,0))</x:f>
        <x:v>Storage</x:v>
      </x:c>
      <x:c r="J13" t="str">
        <x:f>Raw_Orders!G13</x:f>
        <x:v>Online</x:v>
      </x:c>
      <x:c r="K13" t="n">
        <x:f>Raw_Orders!E13</x:f>
        <x:v>2</x:v>
      </x:c>
      <x:c r="L13" s="12" t="n">
        <x:f>Raw_Orders!F13</x:f>
        <x:v>0</x:v>
      </x:c>
      <x:c r="M13" s="14" t="n">
        <x:f>INDEX(Products!$D$2:$D$13,MATCH(G13,Products!$A$2:$A$13,0))</x:f>
        <x:v>120</x:v>
      </x:c>
      <x:c r="N13" s="14" t="n">
        <x:f>INDEX(Products!$E$2:$E$13,MATCH(G13,Products!$A$2:$A$13,0))</x:f>
        <x:v>72</x:v>
      </x:c>
      <x:c r="O13" s="14" t="n">
        <x:f>K13*M13</x:f>
        <x:v>240</x:v>
      </x:c>
      <x:c r="P13" s="14" t="n">
        <x:f>O13*(1-L13)</x:f>
        <x:v>240</x:v>
      </x:c>
      <x:c r="Q13" s="14" t="n">
        <x:f>K13*N13</x:f>
        <x:v>144</x:v>
      </x:c>
      <x:c r="R13" s="14" t="n">
        <x:f>P13-Q13</x:f>
        <x:v>96</x:v>
      </x:c>
      <x:c r="S13" s="16" t="n">
        <x:f>IFERROR(R13/P13,0)</x:f>
        <x:v>0.4</x:v>
      </x:c>
    </x:row>
    <x:row r="14" ht="15" hidden="0" customHeight="1">
      <x:c r="A14" t="str">
        <x:f>Raw_Orders!A14</x:f>
        <x:v>O0013</x:v>
      </x:c>
      <x:c r="B14" s="10" t="n">
        <x:f>Raw_Orders!B14</x:f>
        <x:v>45777</x:v>
      </x:c>
      <x:c r="C14" t="str">
        <x:f>Raw_Orders!C14</x:f>
        <x:v>C013</x:v>
      </x:c>
      <x:c r="D14" t="str">
        <x:f>INDEX(Customers!$B$2:$B$81,MATCH(C14,Customers!$A$2:$A$81,0))</x:f>
        <x:v>Customer 13</x:v>
      </x:c>
      <x:c r="E14" t="str">
        <x:f>INDEX(Customers!$C$2:$C$81,MATCH(C14,Customers!$A$2:$A$81,0))</x:f>
        <x:v>Consumer</x:v>
      </x:c>
      <x:c r="F14" t="str">
        <x:f>INDEX(Customers!$D$2:$D$81,MATCH(C14,Customers!$A$2:$A$81,0))</x:f>
        <x:v>North</x:v>
      </x:c>
      <x:c r="G14" t="str">
        <x:f>Raw_Orders!D14</x:f>
        <x:v>P007</x:v>
      </x:c>
      <x:c r="H14" t="str">
        <x:f>INDEX(Products!$B$2:$B$13,MATCH(G14,Products!$A$2:$A$13,0))</x:f>
        <x:v>Ergonomic Chair</x:v>
      </x:c>
      <x:c r="I14" t="str">
        <x:f>INDEX(Products!$C$2:$C$13,MATCH(G14,Products!$A$2:$A$13,0))</x:f>
        <x:v>Office</x:v>
      </x:c>
      <x:c r="J14" t="str">
        <x:f>Raw_Orders!G14</x:f>
        <x:v>Partner</x:v>
      </x:c>
      <x:c r="K14" t="n">
        <x:f>Raw_Orders!E14</x:f>
        <x:v>3</x:v>
      </x:c>
      <x:c r="L14" s="12" t="n">
        <x:f>Raw_Orders!F14</x:f>
        <x:v>0.05</x:v>
      </x:c>
      <x:c r="M14" s="14" t="n">
        <x:f>INDEX(Products!$D$2:$D$13,MATCH(G14,Products!$A$2:$A$13,0))</x:f>
        <x:v>390</x:v>
      </x:c>
      <x:c r="N14" s="14" t="n">
        <x:f>INDEX(Products!$E$2:$E$13,MATCH(G14,Products!$A$2:$A$13,0))</x:f>
        <x:v>245</x:v>
      </x:c>
      <x:c r="O14" s="14" t="n">
        <x:f>K14*M14</x:f>
        <x:v>1170</x:v>
      </x:c>
      <x:c r="P14" s="14" t="n">
        <x:f>O14*(1-L14)</x:f>
        <x:v>1111.5</x:v>
      </x:c>
      <x:c r="Q14" s="14" t="n">
        <x:f>K14*N14</x:f>
        <x:v>735</x:v>
      </x:c>
      <x:c r="R14" s="14" t="n">
        <x:f>P14-Q14</x:f>
        <x:v>376.5</x:v>
      </x:c>
      <x:c r="S14" s="16" t="n">
        <x:f>IFERROR(R14/P14,0)</x:f>
        <x:v>0.33873144399460187</x:v>
      </x:c>
    </x:row>
    <x:row r="15" ht="15" hidden="0" customHeight="1">
      <x:c r="A15" t="str">
        <x:f>Raw_Orders!A15</x:f>
        <x:v>O0014</x:v>
      </x:c>
      <x:c r="B15" s="10" t="n">
        <x:f>Raw_Orders!B15</x:f>
        <x:v>45844</x:v>
      </x:c>
      <x:c r="C15" t="str">
        <x:f>Raw_Orders!C15</x:f>
        <x:v>C021</x:v>
      </x:c>
      <x:c r="D15" t="str">
        <x:f>INDEX(Customers!$B$2:$B$81,MATCH(C15,Customers!$A$2:$A$81,0))</x:f>
        <x:v>Customer 21</x:v>
      </x:c>
      <x:c r="E15" t="str">
        <x:f>INDEX(Customers!$C$2:$C$81,MATCH(C15,Customers!$A$2:$A$81,0))</x:f>
        <x:v>Small Business</x:v>
      </x:c>
      <x:c r="F15" t="str">
        <x:f>INDEX(Customers!$D$2:$D$81,MATCH(C15,Customers!$A$2:$A$81,0))</x:f>
        <x:v>North</x:v>
      </x:c>
      <x:c r="G15" t="str">
        <x:f>Raw_Orders!D15</x:f>
        <x:v>P006</x:v>
      </x:c>
      <x:c r="H15" t="str">
        <x:f>INDEX(Products!$B$2:$B$13,MATCH(G15,Products!$A$2:$A$13,0))</x:f>
        <x:v>Laptop Stand</x:v>
      </x:c>
      <x:c r="I15" t="str">
        <x:f>INDEX(Products!$C$2:$C$13,MATCH(G15,Products!$A$2:$A$13,0))</x:f>
        <x:v>Office</x:v>
      </x:c>
      <x:c r="J15" t="str">
        <x:f>Raw_Orders!G15</x:f>
        <x:v>Partner</x:v>
      </x:c>
      <x:c r="K15" t="n">
        <x:f>Raw_Orders!E15</x:f>
        <x:v>3</x:v>
      </x:c>
      <x:c r="L15" s="12" t="n">
        <x:f>Raw_Orders!F15</x:f>
        <x:v>0</x:v>
      </x:c>
      <x:c r="M15" s="14" t="n">
        <x:f>INDEX(Products!$D$2:$D$13,MATCH(G15,Products!$A$2:$A$13,0))</x:f>
        <x:v>55</x:v>
      </x:c>
      <x:c r="N15" s="14" t="n">
        <x:f>INDEX(Products!$E$2:$E$13,MATCH(G15,Products!$A$2:$A$13,0))</x:f>
        <x:v>24</x:v>
      </x:c>
      <x:c r="O15" s="14" t="n">
        <x:f>K15*M15</x:f>
        <x:v>165</x:v>
      </x:c>
      <x:c r="P15" s="14" t="n">
        <x:f>O15*(1-L15)</x:f>
        <x:v>165</x:v>
      </x:c>
      <x:c r="Q15" s="14" t="n">
        <x:f>K15*N15</x:f>
        <x:v>72</x:v>
      </x:c>
      <x:c r="R15" s="14" t="n">
        <x:f>P15-Q15</x:f>
        <x:v>93</x:v>
      </x:c>
      <x:c r="S15" s="16" t="n">
        <x:f>IFERROR(R15/P15,0)</x:f>
        <x:v>0.5636363636363636</x:v>
      </x:c>
    </x:row>
    <x:row r="16" ht="15" hidden="0" customHeight="1">
      <x:c r="A16" t="str">
        <x:f>Raw_Orders!A16</x:f>
        <x:v>O0015</x:v>
      </x:c>
      <x:c r="B16" s="10" t="n">
        <x:f>Raw_Orders!B16</x:f>
        <x:v>45794</x:v>
      </x:c>
      <x:c r="C16" t="str">
        <x:f>Raw_Orders!C16</x:f>
        <x:v>C010</x:v>
      </x:c>
      <x:c r="D16" t="str">
        <x:f>INDEX(Customers!$B$2:$B$81,MATCH(C16,Customers!$A$2:$A$81,0))</x:f>
        <x:v>Customer 10</x:v>
      </x:c>
      <x:c r="E16" t="str">
        <x:f>INDEX(Customers!$C$2:$C$81,MATCH(C16,Customers!$A$2:$A$81,0))</x:f>
        <x:v>Consumer</x:v>
      </x:c>
      <x:c r="F16" t="str">
        <x:f>INDEX(Customers!$D$2:$D$81,MATCH(C16,Customers!$A$2:$A$81,0))</x:f>
        <x:v>South</x:v>
      </x:c>
      <x:c r="G16" t="str">
        <x:f>Raw_Orders!D16</x:f>
        <x:v>P010</x:v>
      </x:c>
      <x:c r="H16" t="str">
        <x:f>INDEX(Products!$B$2:$B$13,MATCH(G16,Products!$A$2:$A$13,0))</x:f>
        <x:v>Portable SSD</x:v>
      </x:c>
      <x:c r="I16" t="str">
        <x:f>INDEX(Products!$C$2:$C$13,MATCH(G16,Products!$A$2:$A$13,0))</x:f>
        <x:v>Storage</x:v>
      </x:c>
      <x:c r="J16" t="str">
        <x:f>Raw_Orders!G16</x:f>
        <x:v>Partner</x:v>
      </x:c>
      <x:c r="K16" t="n">
        <x:f>Raw_Orders!E16</x:f>
        <x:v>6</x:v>
      </x:c>
      <x:c r="L16" s="12" t="n">
        <x:f>Raw_Orders!F16</x:f>
        <x:v>0</x:v>
      </x:c>
      <x:c r="M16" s="14" t="n">
        <x:f>INDEX(Products!$D$2:$D$13,MATCH(G16,Products!$A$2:$A$13,0))</x:f>
        <x:v>145</x:v>
      </x:c>
      <x:c r="N16" s="14" t="n">
        <x:f>INDEX(Products!$E$2:$E$13,MATCH(G16,Products!$A$2:$A$13,0))</x:f>
        <x:v>86</x:v>
      </x:c>
      <x:c r="O16" s="14" t="n">
        <x:f>K16*M16</x:f>
        <x:v>870</x:v>
      </x:c>
      <x:c r="P16" s="14" t="n">
        <x:f>O16*(1-L16)</x:f>
        <x:v>870</x:v>
      </x:c>
      <x:c r="Q16" s="14" t="n">
        <x:f>K16*N16</x:f>
        <x:v>516</x:v>
      </x:c>
      <x:c r="R16" s="14" t="n">
        <x:f>P16-Q16</x:f>
        <x:v>354</x:v>
      </x:c>
      <x:c r="S16" s="16" t="n">
        <x:f>IFERROR(R16/P16,0)</x:f>
        <x:v>0.4068965517241379</x:v>
      </x:c>
    </x:row>
    <x:row r="17" ht="15" hidden="0" customHeight="1">
      <x:c r="A17" t="str">
        <x:f>Raw_Orders!A17</x:f>
        <x:v>O0016</x:v>
      </x:c>
      <x:c r="B17" s="10" t="n">
        <x:f>Raw_Orders!B17</x:f>
        <x:v>45783</x:v>
      </x:c>
      <x:c r="C17" t="str">
        <x:f>Raw_Orders!C17</x:f>
        <x:v>C021</x:v>
      </x:c>
      <x:c r="D17" t="str">
        <x:f>INDEX(Customers!$B$2:$B$81,MATCH(C17,Customers!$A$2:$A$81,0))</x:f>
        <x:v>Customer 21</x:v>
      </x:c>
      <x:c r="E17" t="str">
        <x:f>INDEX(Customers!$C$2:$C$81,MATCH(C17,Customers!$A$2:$A$81,0))</x:f>
        <x:v>Small Business</x:v>
      </x:c>
      <x:c r="F17" t="str">
        <x:f>INDEX(Customers!$D$2:$D$81,MATCH(C17,Customers!$A$2:$A$81,0))</x:f>
        <x:v>North</x:v>
      </x:c>
      <x:c r="G17" t="str">
        <x:f>Raw_Orders!D17</x:f>
        <x:v>P008</x:v>
      </x:c>
      <x:c r="H17" t="str">
        <x:f>INDEX(Products!$B$2:$B$13,MATCH(G17,Products!$A$2:$A$13,0))</x:f>
        <x:v>Webcam</x:v>
      </x:c>
      <x:c r="I17" t="str">
        <x:f>INDEX(Products!$C$2:$C$13,MATCH(G17,Products!$A$2:$A$13,0))</x:f>
        <x:v>Accessories</x:v>
      </x:c>
      <x:c r="J17" t="str">
        <x:f>Raw_Orders!G17</x:f>
        <x:v>Partner</x:v>
      </x:c>
      <x:c r="K17" t="n">
        <x:f>Raw_Orders!E17</x:f>
        <x:v>4</x:v>
      </x:c>
      <x:c r="L17" s="12" t="n">
        <x:f>Raw_Orders!F17</x:f>
        <x:v>0</x:v>
      </x:c>
      <x:c r="M17" s="14" t="n">
        <x:f>INDEX(Products!$D$2:$D$13,MATCH(G17,Products!$A$2:$A$13,0))</x:f>
        <x:v>95</x:v>
      </x:c>
      <x:c r="N17" s="14" t="n">
        <x:f>INDEX(Products!$E$2:$E$13,MATCH(G17,Products!$A$2:$A$13,0))</x:f>
        <x:v>49</x:v>
      </x:c>
      <x:c r="O17" s="14" t="n">
        <x:f>K17*M17</x:f>
        <x:v>380</x:v>
      </x:c>
      <x:c r="P17" s="14" t="n">
        <x:f>O17*(1-L17)</x:f>
        <x:v>380</x:v>
      </x:c>
      <x:c r="Q17" s="14" t="n">
        <x:f>K17*N17</x:f>
        <x:v>196</x:v>
      </x:c>
      <x:c r="R17" s="14" t="n">
        <x:f>P17-Q17</x:f>
        <x:v>184</x:v>
      </x:c>
      <x:c r="S17" s="16" t="n">
        <x:f>IFERROR(R17/P17,0)</x:f>
        <x:v>0.4842105263157895</x:v>
      </x:c>
    </x:row>
    <x:row r="18" ht="15" hidden="0" customHeight="1">
      <x:c r="A18" t="str">
        <x:f>Raw_Orders!A18</x:f>
        <x:v>O0017</x:v>
      </x:c>
      <x:c r="B18" s="10" t="n">
        <x:f>Raw_Orders!B18</x:f>
        <x:v>46010</x:v>
      </x:c>
      <x:c r="C18" t="str">
        <x:f>Raw_Orders!C18</x:f>
        <x:v>C072</x:v>
      </x:c>
      <x:c r="D18" t="str">
        <x:f>INDEX(Customers!$B$2:$B$81,MATCH(C18,Customers!$A$2:$A$81,0))</x:f>
        <x:v>Customer 72</x:v>
      </x:c>
      <x:c r="E18" t="str">
        <x:f>INDEX(Customers!$C$2:$C$81,MATCH(C18,Customers!$A$2:$A$81,0))</x:f>
        <x:v>Small Business</x:v>
      </x:c>
      <x:c r="F18" t="str">
        <x:f>INDEX(Customers!$D$2:$D$81,MATCH(C18,Customers!$A$2:$A$81,0))</x:f>
        <x:v>West</x:v>
      </x:c>
      <x:c r="G18" t="str">
        <x:f>Raw_Orders!D18</x:f>
        <x:v>P004</x:v>
      </x:c>
      <x:c r="H18" t="str">
        <x:f>INDEX(Products!$B$2:$B$13,MATCH(G18,Products!$A$2:$A$13,0))</x:f>
        <x:v>24in Monitor</x:v>
      </x:c>
      <x:c r="I18" t="str">
        <x:f>INDEX(Products!$C$2:$C$13,MATCH(G18,Products!$A$2:$A$13,0))</x:f>
        <x:v>Displays</x:v>
      </x:c>
      <x:c r="J18" t="str">
        <x:f>Raw_Orders!G18</x:f>
        <x:v>Online</x:v>
      </x:c>
      <x:c r="K18" t="n">
        <x:f>Raw_Orders!E18</x:f>
        <x:v>6</x:v>
      </x:c>
      <x:c r="L18" s="12" t="n">
        <x:f>Raw_Orders!F18</x:f>
        <x:v>0</x:v>
      </x:c>
      <x:c r="M18" s="14" t="n">
        <x:f>INDEX(Products!$D$2:$D$13,MATCH(G18,Products!$A$2:$A$13,0))</x:f>
        <x:v>220</x:v>
      </x:c>
      <x:c r="N18" s="14" t="n">
        <x:f>INDEX(Products!$E$2:$E$13,MATCH(G18,Products!$A$2:$A$13,0))</x:f>
        <x:v>142</x:v>
      </x:c>
      <x:c r="O18" s="14" t="n">
        <x:f>K18*M18</x:f>
        <x:v>1320</x:v>
      </x:c>
      <x:c r="P18" s="14" t="n">
        <x:f>O18*(1-L18)</x:f>
        <x:v>1320</x:v>
      </x:c>
      <x:c r="Q18" s="14" t="n">
        <x:f>K18*N18</x:f>
        <x:v>852</x:v>
      </x:c>
      <x:c r="R18" s="14" t="n">
        <x:f>P18-Q18</x:f>
        <x:v>468</x:v>
      </x:c>
      <x:c r="S18" s="16" t="n">
        <x:f>IFERROR(R18/P18,0)</x:f>
        <x:v>0.35454545454545455</x:v>
      </x:c>
    </x:row>
    <x:row r="19" ht="15" hidden="0" customHeight="1">
      <x:c r="A19" t="str">
        <x:f>Raw_Orders!A19</x:f>
        <x:v>O0018</x:v>
      </x:c>
      <x:c r="B19" s="10" t="n">
        <x:f>Raw_Orders!B19</x:f>
        <x:v>45775</x:v>
      </x:c>
      <x:c r="C19" t="str">
        <x:f>Raw_Orders!C19</x:f>
        <x:v>C005</x:v>
      </x:c>
      <x:c r="D19" t="str">
        <x:f>INDEX(Customers!$B$2:$B$81,MATCH(C19,Customers!$A$2:$A$81,0))</x:f>
        <x:v>Customer 05</x:v>
      </x:c>
      <x:c r="E19" t="str">
        <x:f>INDEX(Customers!$C$2:$C$81,MATCH(C19,Customers!$A$2:$A$81,0))</x:f>
        <x:v>Corporate</x:v>
      </x:c>
      <x:c r="F19" t="str">
        <x:f>INDEX(Customers!$D$2:$D$81,MATCH(C19,Customers!$A$2:$A$81,0))</x:f>
        <x:v>North</x:v>
      </x:c>
      <x:c r="G19" t="str">
        <x:f>Raw_Orders!D19</x:f>
        <x:v>P006</x:v>
      </x:c>
      <x:c r="H19" t="str">
        <x:f>INDEX(Products!$B$2:$B$13,MATCH(G19,Products!$A$2:$A$13,0))</x:f>
        <x:v>Laptop Stand</x:v>
      </x:c>
      <x:c r="I19" t="str">
        <x:f>INDEX(Products!$C$2:$C$13,MATCH(G19,Products!$A$2:$A$13,0))</x:f>
        <x:v>Office</x:v>
      </x:c>
      <x:c r="J19" t="str">
        <x:f>Raw_Orders!G19</x:f>
        <x:v>Online</x:v>
      </x:c>
      <x:c r="K19" t="n">
        <x:f>Raw_Orders!E19</x:f>
        <x:v>4</x:v>
      </x:c>
      <x:c r="L19" s="12" t="n">
        <x:f>Raw_Orders!F19</x:f>
        <x:v>0</x:v>
      </x:c>
      <x:c r="M19" s="14" t="n">
        <x:f>INDEX(Products!$D$2:$D$13,MATCH(G19,Products!$A$2:$A$13,0))</x:f>
        <x:v>55</x:v>
      </x:c>
      <x:c r="N19" s="14" t="n">
        <x:f>INDEX(Products!$E$2:$E$13,MATCH(G19,Products!$A$2:$A$13,0))</x:f>
        <x:v>24</x:v>
      </x:c>
      <x:c r="O19" s="14" t="n">
        <x:f>K19*M19</x:f>
        <x:v>220</x:v>
      </x:c>
      <x:c r="P19" s="14" t="n">
        <x:f>O19*(1-L19)</x:f>
        <x:v>220</x:v>
      </x:c>
      <x:c r="Q19" s="14" t="n">
        <x:f>K19*N19</x:f>
        <x:v>96</x:v>
      </x:c>
      <x:c r="R19" s="14" t="n">
        <x:f>P19-Q19</x:f>
        <x:v>124</x:v>
      </x:c>
      <x:c r="S19" s="16" t="n">
        <x:f>IFERROR(R19/P19,0)</x:f>
        <x:v>0.5636363636363636</x:v>
      </x:c>
    </x:row>
    <x:row r="20" ht="15" hidden="0" customHeight="1">
      <x:c r="A20" t="str">
        <x:f>Raw_Orders!A20</x:f>
        <x:v>O0019</x:v>
      </x:c>
      <x:c r="B20" s="10" t="n">
        <x:f>Raw_Orders!B20</x:f>
        <x:v>45766</x:v>
      </x:c>
      <x:c r="C20" t="str">
        <x:f>Raw_Orders!C20</x:f>
        <x:v>C073</x:v>
      </x:c>
      <x:c r="D20" t="str">
        <x:f>INDEX(Customers!$B$2:$B$81,MATCH(C20,Customers!$A$2:$A$81,0))</x:f>
        <x:v>Customer 73</x:v>
      </x:c>
      <x:c r="E20" t="str">
        <x:f>INDEX(Customers!$C$2:$C$81,MATCH(C20,Customers!$A$2:$A$81,0))</x:f>
        <x:v>Consumer</x:v>
      </x:c>
      <x:c r="F20" t="str">
        <x:f>INDEX(Customers!$D$2:$D$81,MATCH(C20,Customers!$A$2:$A$81,0))</x:f>
        <x:v>North</x:v>
      </x:c>
      <x:c r="G20" t="str">
        <x:f>Raw_Orders!D20</x:f>
        <x:v>P012</x:v>
      </x:c>
      <x:c r="H20" t="str">
        <x:f>INDEX(Products!$B$2:$B$13,MATCH(G20,Products!$A$2:$A$13,0))</x:f>
        <x:v>Docking Station</x:v>
      </x:c>
      <x:c r="I20" t="str">
        <x:f>INDEX(Products!$C$2:$C$13,MATCH(G20,Products!$A$2:$A$13,0))</x:f>
        <x:v>Accessories</x:v>
      </x:c>
      <x:c r="J20" t="str">
        <x:f>Raw_Orders!G20</x:f>
        <x:v>Partner</x:v>
      </x:c>
      <x:c r="K20" t="n">
        <x:f>Raw_Orders!E20</x:f>
        <x:v>3</x:v>
      </x:c>
      <x:c r="L20" s="12" t="n">
        <x:f>Raw_Orders!F20</x:f>
        <x:v>0</x:v>
      </x:c>
      <x:c r="M20" s="14" t="n">
        <x:f>INDEX(Products!$D$2:$D$13,MATCH(G20,Products!$A$2:$A$13,0))</x:f>
        <x:v>180</x:v>
      </x:c>
      <x:c r="N20" s="14" t="n">
        <x:f>INDEX(Products!$E$2:$E$13,MATCH(G20,Products!$A$2:$A$13,0))</x:f>
        <x:v>104</x:v>
      </x:c>
      <x:c r="O20" s="14" t="n">
        <x:f>K20*M20</x:f>
        <x:v>540</x:v>
      </x:c>
      <x:c r="P20" s="14" t="n">
        <x:f>O20*(1-L20)</x:f>
        <x:v>540</x:v>
      </x:c>
      <x:c r="Q20" s="14" t="n">
        <x:f>K20*N20</x:f>
        <x:v>312</x:v>
      </x:c>
      <x:c r="R20" s="14" t="n">
        <x:f>P20-Q20</x:f>
        <x:v>228</x:v>
      </x:c>
      <x:c r="S20" s="16" t="n">
        <x:f>IFERROR(R20/P20,0)</x:f>
        <x:v>0.4222222222222222</x:v>
      </x:c>
    </x:row>
    <x:row r="21" ht="15" hidden="0" customHeight="1">
      <x:c r="A21" t="str">
        <x:f>Raw_Orders!A21</x:f>
        <x:v>O0020</x:v>
      </x:c>
      <x:c r="B21" s="10" t="n">
        <x:f>Raw_Orders!B21</x:f>
        <x:v>45913</x:v>
      </x:c>
      <x:c r="C21" t="str">
        <x:f>Raw_Orders!C21</x:f>
        <x:v>C051</x:v>
      </x:c>
      <x:c r="D21" t="str">
        <x:f>INDEX(Customers!$B$2:$B$81,MATCH(C21,Customers!$A$2:$A$81,0))</x:f>
        <x:v>Customer 51</x:v>
      </x:c>
      <x:c r="E21" t="str">
        <x:f>INDEX(Customers!$C$2:$C$81,MATCH(C21,Customers!$A$2:$A$81,0))</x:f>
        <x:v>Small Business</x:v>
      </x:c>
      <x:c r="F21" t="str">
        <x:f>INDEX(Customers!$D$2:$D$81,MATCH(C21,Customers!$A$2:$A$81,0))</x:f>
        <x:v>East</x:v>
      </x:c>
      <x:c r="G21" t="str">
        <x:f>Raw_Orders!D21</x:f>
        <x:v>P011</x:v>
      </x:c>
      <x:c r="H21" t="str">
        <x:f>INDEX(Products!$B$2:$B$13,MATCH(G21,Products!$A$2:$A$13,0))</x:f>
        <x:v>External HDD</x:v>
      </x:c>
      <x:c r="I21" t="str">
        <x:f>INDEX(Products!$C$2:$C$13,MATCH(G21,Products!$A$2:$A$13,0))</x:f>
        <x:v>Storage</x:v>
      </x:c>
      <x:c r="J21" t="str">
        <x:f>Raw_Orders!G21</x:f>
        <x:v>Retail</x:v>
      </x:c>
      <x:c r="K21" t="n">
        <x:f>Raw_Orders!E21</x:f>
        <x:v>4</x:v>
      </x:c>
      <x:c r="L21" s="12" t="n">
        <x:f>Raw_Orders!F21</x:f>
        <x:v>0</x:v>
      </x:c>
      <x:c r="M21" s="14" t="n">
        <x:f>INDEX(Products!$D$2:$D$13,MATCH(G21,Products!$A$2:$A$13,0))</x:f>
        <x:v>120</x:v>
      </x:c>
      <x:c r="N21" s="14" t="n">
        <x:f>INDEX(Products!$E$2:$E$13,MATCH(G21,Products!$A$2:$A$13,0))</x:f>
        <x:v>72</x:v>
      </x:c>
      <x:c r="O21" s="14" t="n">
        <x:f>K21*M21</x:f>
        <x:v>480</x:v>
      </x:c>
      <x:c r="P21" s="14" t="n">
        <x:f>O21*(1-L21)</x:f>
        <x:v>480</x:v>
      </x:c>
      <x:c r="Q21" s="14" t="n">
        <x:f>K21*N21</x:f>
        <x:v>288</x:v>
      </x:c>
      <x:c r="R21" s="14" t="n">
        <x:f>P21-Q21</x:f>
        <x:v>192</x:v>
      </x:c>
      <x:c r="S21" s="16" t="n">
        <x:f>IFERROR(R21/P21,0)</x:f>
        <x:v>0.4</x:v>
      </x:c>
    </x:row>
    <x:row r="22" ht="15" hidden="0" customHeight="1">
      <x:c r="A22" t="str">
        <x:f>Raw_Orders!A22</x:f>
        <x:v>O0021</x:v>
      </x:c>
      <x:c r="B22" s="10" t="n">
        <x:f>Raw_Orders!B22</x:f>
        <x:v>45729</x:v>
      </x:c>
      <x:c r="C22" t="str">
        <x:f>Raw_Orders!C22</x:f>
        <x:v>C032</x:v>
      </x:c>
      <x:c r="D22" t="str">
        <x:f>INDEX(Customers!$B$2:$B$81,MATCH(C22,Customers!$A$2:$A$81,0))</x:f>
        <x:v>Customer 32</x:v>
      </x:c>
      <x:c r="E22" t="str">
        <x:f>INDEX(Customers!$C$2:$C$81,MATCH(C22,Customers!$A$2:$A$81,0))</x:f>
        <x:v>Corporate</x:v>
      </x:c>
      <x:c r="F22" t="str">
        <x:f>INDEX(Customers!$D$2:$D$81,MATCH(C22,Customers!$A$2:$A$81,0))</x:f>
        <x:v>West</x:v>
      </x:c>
      <x:c r="G22" t="str">
        <x:f>Raw_Orders!D22</x:f>
        <x:v>P012</x:v>
      </x:c>
      <x:c r="H22" t="str">
        <x:f>INDEX(Products!$B$2:$B$13,MATCH(G22,Products!$A$2:$A$13,0))</x:f>
        <x:v>Docking Station</x:v>
      </x:c>
      <x:c r="I22" t="str">
        <x:f>INDEX(Products!$C$2:$C$13,MATCH(G22,Products!$A$2:$A$13,0))</x:f>
        <x:v>Accessories</x:v>
      </x:c>
      <x:c r="J22" t="str">
        <x:f>Raw_Orders!G22</x:f>
        <x:v>Retail</x:v>
      </x:c>
      <x:c r="K22" t="n">
        <x:f>Raw_Orders!E22</x:f>
        <x:v>5</x:v>
      </x:c>
      <x:c r="L22" s="12" t="n">
        <x:f>Raw_Orders!F22</x:f>
        <x:v>0.1</x:v>
      </x:c>
      <x:c r="M22" s="14" t="n">
        <x:f>INDEX(Products!$D$2:$D$13,MATCH(G22,Products!$A$2:$A$13,0))</x:f>
        <x:v>180</x:v>
      </x:c>
      <x:c r="N22" s="14" t="n">
        <x:f>INDEX(Products!$E$2:$E$13,MATCH(G22,Products!$A$2:$A$13,0))</x:f>
        <x:v>104</x:v>
      </x:c>
      <x:c r="O22" s="14" t="n">
        <x:f>K22*M22</x:f>
        <x:v>900</x:v>
      </x:c>
      <x:c r="P22" s="14" t="n">
        <x:f>O22*(1-L22)</x:f>
        <x:v>810</x:v>
      </x:c>
      <x:c r="Q22" s="14" t="n">
        <x:f>K22*N22</x:f>
        <x:v>520</x:v>
      </x:c>
      <x:c r="R22" s="14" t="n">
        <x:f>P22-Q22</x:f>
        <x:v>290</x:v>
      </x:c>
      <x:c r="S22" s="16" t="n">
        <x:f>IFERROR(R22/P22,0)</x:f>
        <x:v>0.35802469135802467</x:v>
      </x:c>
    </x:row>
    <x:row r="23" ht="15" hidden="0" customHeight="1">
      <x:c r="A23" t="str">
        <x:f>Raw_Orders!A23</x:f>
        <x:v>O0022</x:v>
      </x:c>
      <x:c r="B23" s="10" t="n">
        <x:f>Raw_Orders!B23</x:f>
        <x:v>45957</x:v>
      </x:c>
      <x:c r="C23" t="str">
        <x:f>Raw_Orders!C23</x:f>
        <x:v>C055</x:v>
      </x:c>
      <x:c r="D23" t="str">
        <x:f>INDEX(Customers!$B$2:$B$81,MATCH(C23,Customers!$A$2:$A$81,0))</x:f>
        <x:v>Customer 55</x:v>
      </x:c>
      <x:c r="E23" t="str">
        <x:f>INDEX(Customers!$C$2:$C$81,MATCH(C23,Customers!$A$2:$A$81,0))</x:f>
        <x:v>Consumer</x:v>
      </x:c>
      <x:c r="F23" t="str">
        <x:f>INDEX(Customers!$D$2:$D$81,MATCH(C23,Customers!$A$2:$A$81,0))</x:f>
        <x:v>East</x:v>
      </x:c>
      <x:c r="G23" t="str">
        <x:f>Raw_Orders!D23</x:f>
        <x:v>P010</x:v>
      </x:c>
      <x:c r="H23" t="str">
        <x:f>INDEX(Products!$B$2:$B$13,MATCH(G23,Products!$A$2:$A$13,0))</x:f>
        <x:v>Portable SSD</x:v>
      </x:c>
      <x:c r="I23" t="str">
        <x:f>INDEX(Products!$C$2:$C$13,MATCH(G23,Products!$A$2:$A$13,0))</x:f>
        <x:v>Storage</x:v>
      </x:c>
      <x:c r="J23" t="str">
        <x:f>Raw_Orders!G23</x:f>
        <x:v>Online</x:v>
      </x:c>
      <x:c r="K23" t="n">
        <x:f>Raw_Orders!E23</x:f>
        <x:v>4</x:v>
      </x:c>
      <x:c r="L23" s="12" t="n">
        <x:f>Raw_Orders!F23</x:f>
        <x:v>0</x:v>
      </x:c>
      <x:c r="M23" s="14" t="n">
        <x:f>INDEX(Products!$D$2:$D$13,MATCH(G23,Products!$A$2:$A$13,0))</x:f>
        <x:v>145</x:v>
      </x:c>
      <x:c r="N23" s="14" t="n">
        <x:f>INDEX(Products!$E$2:$E$13,MATCH(G23,Products!$A$2:$A$13,0))</x:f>
        <x:v>86</x:v>
      </x:c>
      <x:c r="O23" s="14" t="n">
        <x:f>K23*M23</x:f>
        <x:v>580</x:v>
      </x:c>
      <x:c r="P23" s="14" t="n">
        <x:f>O23*(1-L23)</x:f>
        <x:v>580</x:v>
      </x:c>
      <x:c r="Q23" s="14" t="n">
        <x:f>K23*N23</x:f>
        <x:v>344</x:v>
      </x:c>
      <x:c r="R23" s="14" t="n">
        <x:f>P23-Q23</x:f>
        <x:v>236</x:v>
      </x:c>
      <x:c r="S23" s="16" t="n">
        <x:f>IFERROR(R23/P23,0)</x:f>
        <x:v>0.4068965517241379</x:v>
      </x:c>
    </x:row>
    <x:row r="24" ht="15" hidden="0" customHeight="1">
      <x:c r="A24" t="str">
        <x:f>Raw_Orders!A24</x:f>
        <x:v>O0023</x:v>
      </x:c>
      <x:c r="B24" s="10" t="n">
        <x:f>Raw_Orders!B24</x:f>
        <x:v>45728</x:v>
      </x:c>
      <x:c r="C24" t="str">
        <x:f>Raw_Orders!C24</x:f>
        <x:v>C066</x:v>
      </x:c>
      <x:c r="D24" t="str">
        <x:f>INDEX(Customers!$B$2:$B$81,MATCH(C24,Customers!$A$2:$A$81,0))</x:f>
        <x:v>Customer 66</x:v>
      </x:c>
      <x:c r="E24" t="str">
        <x:f>INDEX(Customers!$C$2:$C$81,MATCH(C24,Customers!$A$2:$A$81,0))</x:f>
        <x:v>Small Business</x:v>
      </x:c>
      <x:c r="F24" t="str">
        <x:f>INDEX(Customers!$D$2:$D$81,MATCH(C24,Customers!$A$2:$A$81,0))</x:f>
        <x:v>South</x:v>
      </x:c>
      <x:c r="G24" t="str">
        <x:f>Raw_Orders!D24</x:f>
        <x:v>P008</x:v>
      </x:c>
      <x:c r="H24" t="str">
        <x:f>INDEX(Products!$B$2:$B$13,MATCH(G24,Products!$A$2:$A$13,0))</x:f>
        <x:v>Webcam</x:v>
      </x:c>
      <x:c r="I24" t="str">
        <x:f>INDEX(Products!$C$2:$C$13,MATCH(G24,Products!$A$2:$A$13,0))</x:f>
        <x:v>Accessories</x:v>
      </x:c>
      <x:c r="J24" t="str">
        <x:f>Raw_Orders!G24</x:f>
        <x:v>Online</x:v>
      </x:c>
      <x:c r="K24" t="n">
        <x:f>Raw_Orders!E24</x:f>
        <x:v>1</x:v>
      </x:c>
      <x:c r="L24" s="12" t="n">
        <x:f>Raw_Orders!F24</x:f>
        <x:v>0</x:v>
      </x:c>
      <x:c r="M24" s="14" t="n">
        <x:f>INDEX(Products!$D$2:$D$13,MATCH(G24,Products!$A$2:$A$13,0))</x:f>
        <x:v>95</x:v>
      </x:c>
      <x:c r="N24" s="14" t="n">
        <x:f>INDEX(Products!$E$2:$E$13,MATCH(G24,Products!$A$2:$A$13,0))</x:f>
        <x:v>49</x:v>
      </x:c>
      <x:c r="O24" s="14" t="n">
        <x:f>K24*M24</x:f>
        <x:v>95</x:v>
      </x:c>
      <x:c r="P24" s="14" t="n">
        <x:f>O24*(1-L24)</x:f>
        <x:v>95</x:v>
      </x:c>
      <x:c r="Q24" s="14" t="n">
        <x:f>K24*N24</x:f>
        <x:v>49</x:v>
      </x:c>
      <x:c r="R24" s="14" t="n">
        <x:f>P24-Q24</x:f>
        <x:v>46</x:v>
      </x:c>
      <x:c r="S24" s="16" t="n">
        <x:f>IFERROR(R24/P24,0)</x:f>
        <x:v>0.4842105263157895</x:v>
      </x:c>
    </x:row>
    <x:row r="25" ht="15" hidden="0" customHeight="1">
      <x:c r="A25" t="str">
        <x:f>Raw_Orders!A25</x:f>
        <x:v>O0024</x:v>
      </x:c>
      <x:c r="B25" s="10" t="n">
        <x:f>Raw_Orders!B25</x:f>
        <x:v>45736</x:v>
      </x:c>
      <x:c r="C25" t="str">
        <x:f>Raw_Orders!C25</x:f>
        <x:v>C021</x:v>
      </x:c>
      <x:c r="D25" t="str">
        <x:f>INDEX(Customers!$B$2:$B$81,MATCH(C25,Customers!$A$2:$A$81,0))</x:f>
        <x:v>Customer 21</x:v>
      </x:c>
      <x:c r="E25" t="str">
        <x:f>INDEX(Customers!$C$2:$C$81,MATCH(C25,Customers!$A$2:$A$81,0))</x:f>
        <x:v>Small Business</x:v>
      </x:c>
      <x:c r="F25" t="str">
        <x:f>INDEX(Customers!$D$2:$D$81,MATCH(C25,Customers!$A$2:$A$81,0))</x:f>
        <x:v>North</x:v>
      </x:c>
      <x:c r="G25" t="str">
        <x:f>Raw_Orders!D25</x:f>
        <x:v>P011</x:v>
      </x:c>
      <x:c r="H25" t="str">
        <x:f>INDEX(Products!$B$2:$B$13,MATCH(G25,Products!$A$2:$A$13,0))</x:f>
        <x:v>External HDD</x:v>
      </x:c>
      <x:c r="I25" t="str">
        <x:f>INDEX(Products!$C$2:$C$13,MATCH(G25,Products!$A$2:$A$13,0))</x:f>
        <x:v>Storage</x:v>
      </x:c>
      <x:c r="J25" t="str">
        <x:f>Raw_Orders!G25</x:f>
        <x:v>Online</x:v>
      </x:c>
      <x:c r="K25" t="n">
        <x:f>Raw_Orders!E25</x:f>
        <x:v>4</x:v>
      </x:c>
      <x:c r="L25" s="12" t="n">
        <x:f>Raw_Orders!F25</x:f>
        <x:v>0.1</x:v>
      </x:c>
      <x:c r="M25" s="14" t="n">
        <x:f>INDEX(Products!$D$2:$D$13,MATCH(G25,Products!$A$2:$A$13,0))</x:f>
        <x:v>120</x:v>
      </x:c>
      <x:c r="N25" s="14" t="n">
        <x:f>INDEX(Products!$E$2:$E$13,MATCH(G25,Products!$A$2:$A$13,0))</x:f>
        <x:v>72</x:v>
      </x:c>
      <x:c r="O25" s="14" t="n">
        <x:f>K25*M25</x:f>
        <x:v>480</x:v>
      </x:c>
      <x:c r="P25" s="14" t="n">
        <x:f>O25*(1-L25)</x:f>
        <x:v>432</x:v>
      </x:c>
      <x:c r="Q25" s="14" t="n">
        <x:f>K25*N25</x:f>
        <x:v>288</x:v>
      </x:c>
      <x:c r="R25" s="14" t="n">
        <x:f>P25-Q25</x:f>
        <x:v>144</x:v>
      </x:c>
      <x:c r="S25" s="16" t="n">
        <x:f>IFERROR(R25/P25,0)</x:f>
        <x:v>0.3333333333333333</x:v>
      </x:c>
    </x:row>
    <x:row r="26" ht="15" hidden="0" customHeight="1">
      <x:c r="A26" t="str">
        <x:f>Raw_Orders!A26</x:f>
        <x:v>O0025</x:v>
      </x:c>
      <x:c r="B26" s="10" t="n">
        <x:f>Raw_Orders!B26</x:f>
        <x:v>45855</x:v>
      </x:c>
      <x:c r="C26" t="str">
        <x:f>Raw_Orders!C26</x:f>
        <x:v>C049</x:v>
      </x:c>
      <x:c r="D26" t="str">
        <x:f>INDEX(Customers!$B$2:$B$81,MATCH(C26,Customers!$A$2:$A$81,0))</x:f>
        <x:v>Customer 49</x:v>
      </x:c>
      <x:c r="E26" t="str">
        <x:f>INDEX(Customers!$C$2:$C$81,MATCH(C26,Customers!$A$2:$A$81,0))</x:f>
        <x:v>Consumer</x:v>
      </x:c>
      <x:c r="F26" t="str">
        <x:f>INDEX(Customers!$D$2:$D$81,MATCH(C26,Customers!$A$2:$A$81,0))</x:f>
        <x:v>North</x:v>
      </x:c>
      <x:c r="G26" t="str">
        <x:f>Raw_Orders!D26</x:f>
        <x:v>P010</x:v>
      </x:c>
      <x:c r="H26" t="str">
        <x:f>INDEX(Products!$B$2:$B$13,MATCH(G26,Products!$A$2:$A$13,0))</x:f>
        <x:v>Portable SSD</x:v>
      </x:c>
      <x:c r="I26" t="str">
        <x:f>INDEX(Products!$C$2:$C$13,MATCH(G26,Products!$A$2:$A$13,0))</x:f>
        <x:v>Storage</x:v>
      </x:c>
      <x:c r="J26" t="str">
        <x:f>Raw_Orders!G26</x:f>
        <x:v>Retail</x:v>
      </x:c>
      <x:c r="K26" t="n">
        <x:f>Raw_Orders!E26</x:f>
        <x:v>4</x:v>
      </x:c>
      <x:c r="L26" s="12" t="n">
        <x:f>Raw_Orders!F26</x:f>
        <x:v>0.1</x:v>
      </x:c>
      <x:c r="M26" s="14" t="n">
        <x:f>INDEX(Products!$D$2:$D$13,MATCH(G26,Products!$A$2:$A$13,0))</x:f>
        <x:v>145</x:v>
      </x:c>
      <x:c r="N26" s="14" t="n">
        <x:f>INDEX(Products!$E$2:$E$13,MATCH(G26,Products!$A$2:$A$13,0))</x:f>
        <x:v>86</x:v>
      </x:c>
      <x:c r="O26" s="14" t="n">
        <x:f>K26*M26</x:f>
        <x:v>580</x:v>
      </x:c>
      <x:c r="P26" s="14" t="n">
        <x:f>O26*(1-L26)</x:f>
        <x:v>522</x:v>
      </x:c>
      <x:c r="Q26" s="14" t="n">
        <x:f>K26*N26</x:f>
        <x:v>344</x:v>
      </x:c>
      <x:c r="R26" s="14" t="n">
        <x:f>P26-Q26</x:f>
        <x:v>178</x:v>
      </x:c>
      <x:c r="S26" s="16" t="n">
        <x:f>IFERROR(R26/P26,0)</x:f>
        <x:v>0.34099616858237547</x:v>
      </x:c>
    </x:row>
    <x:row r="27" ht="15" hidden="0" customHeight="1">
      <x:c r="A27" t="str">
        <x:f>Raw_Orders!A27</x:f>
        <x:v>O0026</x:v>
      </x:c>
      <x:c r="B27" s="10" t="n">
        <x:f>Raw_Orders!B27</x:f>
        <x:v>45941</x:v>
      </x:c>
      <x:c r="C27" t="str">
        <x:f>Raw_Orders!C27</x:f>
        <x:v>C002</x:v>
      </x:c>
      <x:c r="D27" t="str">
        <x:f>INDEX(Customers!$B$2:$B$81,MATCH(C27,Customers!$A$2:$A$81,0))</x:f>
        <x:v>Customer 02</x:v>
      </x:c>
      <x:c r="E27" t="str">
        <x:f>INDEX(Customers!$C$2:$C$81,MATCH(C27,Customers!$A$2:$A$81,0))</x:f>
        <x:v>Corporate</x:v>
      </x:c>
      <x:c r="F27" t="str">
        <x:f>INDEX(Customers!$D$2:$D$81,MATCH(C27,Customers!$A$2:$A$81,0))</x:f>
        <x:v>South</x:v>
      </x:c>
      <x:c r="G27" t="str">
        <x:f>Raw_Orders!D27</x:f>
        <x:v>P011</x:v>
      </x:c>
      <x:c r="H27" t="str">
        <x:f>INDEX(Products!$B$2:$B$13,MATCH(G27,Products!$A$2:$A$13,0))</x:f>
        <x:v>External HDD</x:v>
      </x:c>
      <x:c r="I27" t="str">
        <x:f>INDEX(Products!$C$2:$C$13,MATCH(G27,Products!$A$2:$A$13,0))</x:f>
        <x:v>Storage</x:v>
      </x:c>
      <x:c r="J27" t="str">
        <x:f>Raw_Orders!G27</x:f>
        <x:v>Partner</x:v>
      </x:c>
      <x:c r="K27" t="n">
        <x:f>Raw_Orders!E27</x:f>
        <x:v>6</x:v>
      </x:c>
      <x:c r="L27" s="12" t="n">
        <x:f>Raw_Orders!F27</x:f>
        <x:v>0</x:v>
      </x:c>
      <x:c r="M27" s="14" t="n">
        <x:f>INDEX(Products!$D$2:$D$13,MATCH(G27,Products!$A$2:$A$13,0))</x:f>
        <x:v>120</x:v>
      </x:c>
      <x:c r="N27" s="14" t="n">
        <x:f>INDEX(Products!$E$2:$E$13,MATCH(G27,Products!$A$2:$A$13,0))</x:f>
        <x:v>72</x:v>
      </x:c>
      <x:c r="O27" s="14" t="n">
        <x:f>K27*M27</x:f>
        <x:v>720</x:v>
      </x:c>
      <x:c r="P27" s="14" t="n">
        <x:f>O27*(1-L27)</x:f>
        <x:v>720</x:v>
      </x:c>
      <x:c r="Q27" s="14" t="n">
        <x:f>K27*N27</x:f>
        <x:v>432</x:v>
      </x:c>
      <x:c r="R27" s="14" t="n">
        <x:f>P27-Q27</x:f>
        <x:v>288</x:v>
      </x:c>
      <x:c r="S27" s="16" t="n">
        <x:f>IFERROR(R27/P27,0)</x:f>
        <x:v>0.4</x:v>
      </x:c>
    </x:row>
    <x:row r="28" ht="15" hidden="0" customHeight="1">
      <x:c r="A28" t="str">
        <x:f>Raw_Orders!A28</x:f>
        <x:v>O0027</x:v>
      </x:c>
      <x:c r="B28" s="10" t="n">
        <x:f>Raw_Orders!B28</x:f>
        <x:v>45932</x:v>
      </x:c>
      <x:c r="C28" t="str">
        <x:f>Raw_Orders!C28</x:f>
        <x:v>C035</x:v>
      </x:c>
      <x:c r="D28" t="str">
        <x:f>INDEX(Customers!$B$2:$B$81,MATCH(C28,Customers!$A$2:$A$81,0))</x:f>
        <x:v>Customer 35</x:v>
      </x:c>
      <x:c r="E28" t="str">
        <x:f>INDEX(Customers!$C$2:$C$81,MATCH(C28,Customers!$A$2:$A$81,0))</x:f>
        <x:v>Corporate</x:v>
      </x:c>
      <x:c r="F28" t="str">
        <x:f>INDEX(Customers!$D$2:$D$81,MATCH(C28,Customers!$A$2:$A$81,0))</x:f>
        <x:v>East</x:v>
      </x:c>
      <x:c r="G28" t="str">
        <x:f>Raw_Orders!D28</x:f>
        <x:v>P011</x:v>
      </x:c>
      <x:c r="H28" t="str">
        <x:f>INDEX(Products!$B$2:$B$13,MATCH(G28,Products!$A$2:$A$13,0))</x:f>
        <x:v>External HDD</x:v>
      </x:c>
      <x:c r="I28" t="str">
        <x:f>INDEX(Products!$C$2:$C$13,MATCH(G28,Products!$A$2:$A$13,0))</x:f>
        <x:v>Storage</x:v>
      </x:c>
      <x:c r="J28" t="str">
        <x:f>Raw_Orders!G28</x:f>
        <x:v>Retail</x:v>
      </x:c>
      <x:c r="K28" t="n">
        <x:f>Raw_Orders!E28</x:f>
        <x:v>3</x:v>
      </x:c>
      <x:c r="L28" s="12" t="n">
        <x:f>Raw_Orders!F28</x:f>
        <x:v>0</x:v>
      </x:c>
      <x:c r="M28" s="14" t="n">
        <x:f>INDEX(Products!$D$2:$D$13,MATCH(G28,Products!$A$2:$A$13,0))</x:f>
        <x:v>120</x:v>
      </x:c>
      <x:c r="N28" s="14" t="n">
        <x:f>INDEX(Products!$E$2:$E$13,MATCH(G28,Products!$A$2:$A$13,0))</x:f>
        <x:v>72</x:v>
      </x:c>
      <x:c r="O28" s="14" t="n">
        <x:f>K28*M28</x:f>
        <x:v>360</x:v>
      </x:c>
      <x:c r="P28" s="14" t="n">
        <x:f>O28*(1-L28)</x:f>
        <x:v>360</x:v>
      </x:c>
      <x:c r="Q28" s="14" t="n">
        <x:f>K28*N28</x:f>
        <x:v>216</x:v>
      </x:c>
      <x:c r="R28" s="14" t="n">
        <x:f>P28-Q28</x:f>
        <x:v>144</x:v>
      </x:c>
      <x:c r="S28" s="16" t="n">
        <x:f>IFERROR(R28/P28,0)</x:f>
        <x:v>0.4</x:v>
      </x:c>
    </x:row>
    <x:row r="29" ht="15" hidden="0" customHeight="1">
      <x:c r="A29" t="str">
        <x:f>Raw_Orders!A29</x:f>
        <x:v>O0028</x:v>
      </x:c>
      <x:c r="B29" s="10" t="n">
        <x:f>Raw_Orders!B29</x:f>
        <x:v>45880</x:v>
      </x:c>
      <x:c r="C29" t="str">
        <x:f>Raw_Orders!C29</x:f>
        <x:v>C021</x:v>
      </x:c>
      <x:c r="D29" t="str">
        <x:f>INDEX(Customers!$B$2:$B$81,MATCH(C29,Customers!$A$2:$A$81,0))</x:f>
        <x:v>Customer 21</x:v>
      </x:c>
      <x:c r="E29" t="str">
        <x:f>INDEX(Customers!$C$2:$C$81,MATCH(C29,Customers!$A$2:$A$81,0))</x:f>
        <x:v>Small Business</x:v>
      </x:c>
      <x:c r="F29" t="str">
        <x:f>INDEX(Customers!$D$2:$D$81,MATCH(C29,Customers!$A$2:$A$81,0))</x:f>
        <x:v>North</x:v>
      </x:c>
      <x:c r="G29" t="str">
        <x:f>Raw_Orders!D29</x:f>
        <x:v>P008</x:v>
      </x:c>
      <x:c r="H29" t="str">
        <x:f>INDEX(Products!$B$2:$B$13,MATCH(G29,Products!$A$2:$A$13,0))</x:f>
        <x:v>Webcam</x:v>
      </x:c>
      <x:c r="I29" t="str">
        <x:f>INDEX(Products!$C$2:$C$13,MATCH(G29,Products!$A$2:$A$13,0))</x:f>
        <x:v>Accessories</x:v>
      </x:c>
      <x:c r="J29" t="str">
        <x:f>Raw_Orders!G29</x:f>
        <x:v>Partner</x:v>
      </x:c>
      <x:c r="K29" t="n">
        <x:f>Raw_Orders!E29</x:f>
        <x:v>1</x:v>
      </x:c>
      <x:c r="L29" s="12" t="n">
        <x:f>Raw_Orders!F29</x:f>
        <x:v>0.15</x:v>
      </x:c>
      <x:c r="M29" s="14" t="n">
        <x:f>INDEX(Products!$D$2:$D$13,MATCH(G29,Products!$A$2:$A$13,0))</x:f>
        <x:v>95</x:v>
      </x:c>
      <x:c r="N29" s="14" t="n">
        <x:f>INDEX(Products!$E$2:$E$13,MATCH(G29,Products!$A$2:$A$13,0))</x:f>
        <x:v>49</x:v>
      </x:c>
      <x:c r="O29" s="14" t="n">
        <x:f>K29*M29</x:f>
        <x:v>95</x:v>
      </x:c>
      <x:c r="P29" s="14" t="n">
        <x:f>O29*(1-L29)</x:f>
        <x:v>80.75</x:v>
      </x:c>
      <x:c r="Q29" s="14" t="n">
        <x:f>K29*N29</x:f>
        <x:v>49</x:v>
      </x:c>
      <x:c r="R29" s="14" t="n">
        <x:f>P29-Q29</x:f>
        <x:v>31.75</x:v>
      </x:c>
      <x:c r="S29" s="16" t="n">
        <x:f>IFERROR(R29/P29,0)</x:f>
        <x:v>0.3931888544891641</x:v>
      </x:c>
    </x:row>
    <x:row r="30" ht="15" hidden="0" customHeight="1">
      <x:c r="A30" t="str">
        <x:f>Raw_Orders!A30</x:f>
        <x:v>O0029</x:v>
      </x:c>
      <x:c r="B30" s="10" t="n">
        <x:f>Raw_Orders!B30</x:f>
        <x:v>45792</x:v>
      </x:c>
      <x:c r="C30" t="str">
        <x:f>Raw_Orders!C30</x:f>
        <x:v>C065</x:v>
      </x:c>
      <x:c r="D30" t="str">
        <x:f>INDEX(Customers!$B$2:$B$81,MATCH(C30,Customers!$A$2:$A$81,0))</x:f>
        <x:v>Customer 65</x:v>
      </x:c>
      <x:c r="E30" t="str">
        <x:f>INDEX(Customers!$C$2:$C$81,MATCH(C30,Customers!$A$2:$A$81,0))</x:f>
        <x:v>Corporate</x:v>
      </x:c>
      <x:c r="F30" t="str">
        <x:f>INDEX(Customers!$D$2:$D$81,MATCH(C30,Customers!$A$2:$A$81,0))</x:f>
        <x:v>North</x:v>
      </x:c>
      <x:c r="G30" t="str">
        <x:f>Raw_Orders!D30</x:f>
        <x:v>P003</x:v>
      </x:c>
      <x:c r="H30" t="str">
        <x:f>INDEX(Products!$B$2:$B$13,MATCH(G30,Products!$A$2:$A$13,0))</x:f>
        <x:v>USB-C Hub</x:v>
      </x:c>
      <x:c r="I30" t="str">
        <x:f>INDEX(Products!$C$2:$C$13,MATCH(G30,Products!$A$2:$A$13,0))</x:f>
        <x:v>Accessories</x:v>
      </x:c>
      <x:c r="J30" t="str">
        <x:f>Raw_Orders!G30</x:f>
        <x:v>Partner</x:v>
      </x:c>
      <x:c r="K30" t="n">
        <x:f>Raw_Orders!E30</x:f>
        <x:v>5</x:v>
      </x:c>
      <x:c r="L30" s="12" t="n">
        <x:f>Raw_Orders!F30</x:f>
        <x:v>0</x:v>
      </x:c>
      <x:c r="M30" s="14" t="n">
        <x:f>INDEX(Products!$D$2:$D$13,MATCH(G30,Products!$A$2:$A$13,0))</x:f>
        <x:v>65</x:v>
      </x:c>
      <x:c r="N30" s="14" t="n">
        <x:f>INDEX(Products!$E$2:$E$13,MATCH(G30,Products!$A$2:$A$13,0))</x:f>
        <x:v>31</x:v>
      </x:c>
      <x:c r="O30" s="14" t="n">
        <x:f>K30*M30</x:f>
        <x:v>325</x:v>
      </x:c>
      <x:c r="P30" s="14" t="n">
        <x:f>O30*(1-L30)</x:f>
        <x:v>325</x:v>
      </x:c>
      <x:c r="Q30" s="14" t="n">
        <x:f>K30*N30</x:f>
        <x:v>155</x:v>
      </x:c>
      <x:c r="R30" s="14" t="n">
        <x:f>P30-Q30</x:f>
        <x:v>170</x:v>
      </x:c>
      <x:c r="S30" s="16" t="n">
        <x:f>IFERROR(R30/P30,0)</x:f>
        <x:v>0.5230769230769231</x:v>
      </x:c>
    </x:row>
    <x:row r="31" ht="15" hidden="0" customHeight="1">
      <x:c r="A31" t="str">
        <x:f>Raw_Orders!A31</x:f>
        <x:v>O0030</x:v>
      </x:c>
      <x:c r="B31" s="10" t="n">
        <x:f>Raw_Orders!B31</x:f>
        <x:v>45810</x:v>
      </x:c>
      <x:c r="C31" t="str">
        <x:f>Raw_Orders!C31</x:f>
        <x:v>C065</x:v>
      </x:c>
      <x:c r="D31" t="str">
        <x:f>INDEX(Customers!$B$2:$B$81,MATCH(C31,Customers!$A$2:$A$81,0))</x:f>
        <x:v>Customer 65</x:v>
      </x:c>
      <x:c r="E31" t="str">
        <x:f>INDEX(Customers!$C$2:$C$81,MATCH(C31,Customers!$A$2:$A$81,0))</x:f>
        <x:v>Corporate</x:v>
      </x:c>
      <x:c r="F31" t="str">
        <x:f>INDEX(Customers!$D$2:$D$81,MATCH(C31,Customers!$A$2:$A$81,0))</x:f>
        <x:v>North</x:v>
      </x:c>
      <x:c r="G31" t="str">
        <x:f>Raw_Orders!D31</x:f>
        <x:v>P010</x:v>
      </x:c>
      <x:c r="H31" t="str">
        <x:f>INDEX(Products!$B$2:$B$13,MATCH(G31,Products!$A$2:$A$13,0))</x:f>
        <x:v>Portable SSD</x:v>
      </x:c>
      <x:c r="I31" t="str">
        <x:f>INDEX(Products!$C$2:$C$13,MATCH(G31,Products!$A$2:$A$13,0))</x:f>
        <x:v>Storage</x:v>
      </x:c>
      <x:c r="J31" t="str">
        <x:f>Raw_Orders!G31</x:f>
        <x:v>Retail</x:v>
      </x:c>
      <x:c r="K31" t="n">
        <x:f>Raw_Orders!E31</x:f>
        <x:v>2</x:v>
      </x:c>
      <x:c r="L31" s="12" t="n">
        <x:f>Raw_Orders!F31</x:f>
        <x:v>0</x:v>
      </x:c>
      <x:c r="M31" s="14" t="n">
        <x:f>INDEX(Products!$D$2:$D$13,MATCH(G31,Products!$A$2:$A$13,0))</x:f>
        <x:v>145</x:v>
      </x:c>
      <x:c r="N31" s="14" t="n">
        <x:f>INDEX(Products!$E$2:$E$13,MATCH(G31,Products!$A$2:$A$13,0))</x:f>
        <x:v>86</x:v>
      </x:c>
      <x:c r="O31" s="14" t="n">
        <x:f>K31*M31</x:f>
        <x:v>290</x:v>
      </x:c>
      <x:c r="P31" s="14" t="n">
        <x:f>O31*(1-L31)</x:f>
        <x:v>290</x:v>
      </x:c>
      <x:c r="Q31" s="14" t="n">
        <x:f>K31*N31</x:f>
        <x:v>172</x:v>
      </x:c>
      <x:c r="R31" s="14" t="n">
        <x:f>P31-Q31</x:f>
        <x:v>118</x:v>
      </x:c>
      <x:c r="S31" s="16" t="n">
        <x:f>IFERROR(R31/P31,0)</x:f>
        <x:v>0.4068965517241379</x:v>
      </x:c>
    </x:row>
    <x:row r="32" ht="15" hidden="0" customHeight="1">
      <x:c r="A32" t="str">
        <x:f>Raw_Orders!A32</x:f>
        <x:v>O0031</x:v>
      </x:c>
      <x:c r="B32" s="10" t="n">
        <x:f>Raw_Orders!B32</x:f>
        <x:v>45740</x:v>
      </x:c>
      <x:c r="C32" t="str">
        <x:f>Raw_Orders!C32</x:f>
        <x:v>C070</x:v>
      </x:c>
      <x:c r="D32" t="str">
        <x:f>INDEX(Customers!$B$2:$B$81,MATCH(C32,Customers!$A$2:$A$81,0))</x:f>
        <x:v>Customer 70</x:v>
      </x:c>
      <x:c r="E32" t="str">
        <x:f>INDEX(Customers!$C$2:$C$81,MATCH(C32,Customers!$A$2:$A$81,0))</x:f>
        <x:v>Consumer</x:v>
      </x:c>
      <x:c r="F32" t="str">
        <x:f>INDEX(Customers!$D$2:$D$81,MATCH(C32,Customers!$A$2:$A$81,0))</x:f>
        <x:v>South</x:v>
      </x:c>
      <x:c r="G32" t="str">
        <x:f>Raw_Orders!D32</x:f>
        <x:v>P009</x:v>
      </x:c>
      <x:c r="H32" t="str">
        <x:f>INDEX(Products!$B$2:$B$13,MATCH(G32,Products!$A$2:$A$13,0))</x:f>
        <x:v>Desk Lamp</x:v>
      </x:c>
      <x:c r="I32" t="str">
        <x:f>INDEX(Products!$C$2:$C$13,MATCH(G32,Products!$A$2:$A$13,0))</x:f>
        <x:v>Office</x:v>
      </x:c>
      <x:c r="J32" t="str">
        <x:f>Raw_Orders!G32</x:f>
        <x:v>Retail</x:v>
      </x:c>
      <x:c r="K32" t="n">
        <x:f>Raw_Orders!E32</x:f>
        <x:v>1</x:v>
      </x:c>
      <x:c r="L32" s="12" t="n">
        <x:f>Raw_Orders!F32</x:f>
        <x:v>0.1</x:v>
      </x:c>
      <x:c r="M32" s="14" t="n">
        <x:f>INDEX(Products!$D$2:$D$13,MATCH(G32,Products!$A$2:$A$13,0))</x:f>
        <x:v>70</x:v>
      </x:c>
      <x:c r="N32" s="14" t="n">
        <x:f>INDEX(Products!$E$2:$E$13,MATCH(G32,Products!$A$2:$A$13,0))</x:f>
        <x:v>29</x:v>
      </x:c>
      <x:c r="O32" s="14" t="n">
        <x:f>K32*M32</x:f>
        <x:v>70</x:v>
      </x:c>
      <x:c r="P32" s="14" t="n">
        <x:f>O32*(1-L32)</x:f>
        <x:v>63</x:v>
      </x:c>
      <x:c r="Q32" s="14" t="n">
        <x:f>K32*N32</x:f>
        <x:v>29</x:v>
      </x:c>
      <x:c r="R32" s="14" t="n">
        <x:f>P32-Q32</x:f>
        <x:v>34</x:v>
      </x:c>
      <x:c r="S32" s="16" t="n">
        <x:f>IFERROR(R32/P32,0)</x:f>
        <x:v>0.5396825396825397</x:v>
      </x:c>
    </x:row>
    <x:row r="33" ht="15" hidden="0" customHeight="1">
      <x:c r="A33" t="str">
        <x:f>Raw_Orders!A33</x:f>
        <x:v>O0032</x:v>
      </x:c>
      <x:c r="B33" s="10" t="n">
        <x:f>Raw_Orders!B33</x:f>
        <x:v>45908</x:v>
      </x:c>
      <x:c r="C33" t="str">
        <x:f>Raw_Orders!C33</x:f>
        <x:v>C003</x:v>
      </x:c>
      <x:c r="D33" t="str">
        <x:f>INDEX(Customers!$B$2:$B$81,MATCH(C33,Customers!$A$2:$A$81,0))</x:f>
        <x:v>Customer 03</x:v>
      </x:c>
      <x:c r="E33" t="str">
        <x:f>INDEX(Customers!$C$2:$C$81,MATCH(C33,Customers!$A$2:$A$81,0))</x:f>
        <x:v>Small Business</x:v>
      </x:c>
      <x:c r="F33" t="str">
        <x:f>INDEX(Customers!$D$2:$D$81,MATCH(C33,Customers!$A$2:$A$81,0))</x:f>
        <x:v>East</x:v>
      </x:c>
      <x:c r="G33" t="str">
        <x:f>Raw_Orders!D33</x:f>
        <x:v>P002</x:v>
      </x:c>
      <x:c r="H33" t="str">
        <x:f>INDEX(Products!$B$2:$B$13,MATCH(G33,Products!$A$2:$A$13,0))</x:f>
        <x:v>Mechanical Keyboard</x:v>
      </x:c>
      <x:c r="I33" t="str">
        <x:f>INDEX(Products!$C$2:$C$13,MATCH(G33,Products!$A$2:$A$13,0))</x:f>
        <x:v>Accessories</x:v>
      </x:c>
      <x:c r="J33" t="str">
        <x:f>Raw_Orders!G33</x:f>
        <x:v>Online</x:v>
      </x:c>
      <x:c r="K33" t="n">
        <x:f>Raw_Orders!E33</x:f>
        <x:v>3</x:v>
      </x:c>
      <x:c r="L33" s="12" t="n">
        <x:f>Raw_Orders!F33</x:f>
        <x:v>0</x:v>
      </x:c>
      <x:c r="M33" s="14" t="n">
        <x:f>INDEX(Products!$D$2:$D$13,MATCH(G33,Products!$A$2:$A$13,0))</x:f>
        <x:v>110</x:v>
      </x:c>
      <x:c r="N33" s="14" t="n">
        <x:f>INDEX(Products!$E$2:$E$13,MATCH(G33,Products!$A$2:$A$13,0))</x:f>
        <x:v>58</x:v>
      </x:c>
      <x:c r="O33" s="14" t="n">
        <x:f>K33*M33</x:f>
        <x:v>330</x:v>
      </x:c>
      <x:c r="P33" s="14" t="n">
        <x:f>O33*(1-L33)</x:f>
        <x:v>330</x:v>
      </x:c>
      <x:c r="Q33" s="14" t="n">
        <x:f>K33*N33</x:f>
        <x:v>174</x:v>
      </x:c>
      <x:c r="R33" s="14" t="n">
        <x:f>P33-Q33</x:f>
        <x:v>156</x:v>
      </x:c>
      <x:c r="S33" s="16" t="n">
        <x:f>IFERROR(R33/P33,0)</x:f>
        <x:v>0.4727272727272727</x:v>
      </x:c>
    </x:row>
    <x:row r="34" ht="15" hidden="0" customHeight="1">
      <x:c r="A34" t="str">
        <x:f>Raw_Orders!A34</x:f>
        <x:v>O0033</x:v>
      </x:c>
      <x:c r="B34" s="10" t="n">
        <x:f>Raw_Orders!B34</x:f>
        <x:v>45687</x:v>
      </x:c>
      <x:c r="C34" t="str">
        <x:f>Raw_Orders!C34</x:f>
        <x:v>C031</x:v>
      </x:c>
      <x:c r="D34" t="str">
        <x:f>INDEX(Customers!$B$2:$B$81,MATCH(C34,Customers!$A$2:$A$81,0))</x:f>
        <x:v>Customer 31</x:v>
      </x:c>
      <x:c r="E34" t="str">
        <x:f>INDEX(Customers!$C$2:$C$81,MATCH(C34,Customers!$A$2:$A$81,0))</x:f>
        <x:v>Consumer</x:v>
      </x:c>
      <x:c r="F34" t="str">
        <x:f>INDEX(Customers!$D$2:$D$81,MATCH(C34,Customers!$A$2:$A$81,0))</x:f>
        <x:v>East</x:v>
      </x:c>
      <x:c r="G34" t="str">
        <x:f>Raw_Orders!D34</x:f>
        <x:v>P010</x:v>
      </x:c>
      <x:c r="H34" t="str">
        <x:f>INDEX(Products!$B$2:$B$13,MATCH(G34,Products!$A$2:$A$13,0))</x:f>
        <x:v>Portable SSD</x:v>
      </x:c>
      <x:c r="I34" t="str">
        <x:f>INDEX(Products!$C$2:$C$13,MATCH(G34,Products!$A$2:$A$13,0))</x:f>
        <x:v>Storage</x:v>
      </x:c>
      <x:c r="J34" t="str">
        <x:f>Raw_Orders!G34</x:f>
        <x:v>Partner</x:v>
      </x:c>
      <x:c r="K34" t="n">
        <x:f>Raw_Orders!E34</x:f>
        <x:v>1</x:v>
      </x:c>
      <x:c r="L34" s="12" t="n">
        <x:f>Raw_Orders!F34</x:f>
        <x:v>0</x:v>
      </x:c>
      <x:c r="M34" s="14" t="n">
        <x:f>INDEX(Products!$D$2:$D$13,MATCH(G34,Products!$A$2:$A$13,0))</x:f>
        <x:v>145</x:v>
      </x:c>
      <x:c r="N34" s="14" t="n">
        <x:f>INDEX(Products!$E$2:$E$13,MATCH(G34,Products!$A$2:$A$13,0))</x:f>
        <x:v>86</x:v>
      </x:c>
      <x:c r="O34" s="14" t="n">
        <x:f>K34*M34</x:f>
        <x:v>145</x:v>
      </x:c>
      <x:c r="P34" s="14" t="n">
        <x:f>O34*(1-L34)</x:f>
        <x:v>145</x:v>
      </x:c>
      <x:c r="Q34" s="14" t="n">
        <x:f>K34*N34</x:f>
        <x:v>86</x:v>
      </x:c>
      <x:c r="R34" s="14" t="n">
        <x:f>P34-Q34</x:f>
        <x:v>59</x:v>
      </x:c>
      <x:c r="S34" s="16" t="n">
        <x:f>IFERROR(R34/P34,0)</x:f>
        <x:v>0.4068965517241379</x:v>
      </x:c>
    </x:row>
    <x:row r="35" ht="15" hidden="0" customHeight="1">
      <x:c r="A35" t="str">
        <x:f>Raw_Orders!A35</x:f>
        <x:v>O0034</x:v>
      </x:c>
      <x:c r="B35" s="10" t="n">
        <x:f>Raw_Orders!B35</x:f>
        <x:v>45906</x:v>
      </x:c>
      <x:c r="C35" t="str">
        <x:f>Raw_Orders!C35</x:f>
        <x:v>C009</x:v>
      </x:c>
      <x:c r="D35" t="str">
        <x:f>INDEX(Customers!$B$2:$B$81,MATCH(C35,Customers!$A$2:$A$81,0))</x:f>
        <x:v>Customer 09</x:v>
      </x:c>
      <x:c r="E35" t="str">
        <x:f>INDEX(Customers!$C$2:$C$81,MATCH(C35,Customers!$A$2:$A$81,0))</x:f>
        <x:v>Small Business</x:v>
      </x:c>
      <x:c r="F35" t="str">
        <x:f>INDEX(Customers!$D$2:$D$81,MATCH(C35,Customers!$A$2:$A$81,0))</x:f>
        <x:v>North</x:v>
      </x:c>
      <x:c r="G35" t="str">
        <x:f>Raw_Orders!D35</x:f>
        <x:v>P009</x:v>
      </x:c>
      <x:c r="H35" t="str">
        <x:f>INDEX(Products!$B$2:$B$13,MATCH(G35,Products!$A$2:$A$13,0))</x:f>
        <x:v>Desk Lamp</x:v>
      </x:c>
      <x:c r="I35" t="str">
        <x:f>INDEX(Products!$C$2:$C$13,MATCH(G35,Products!$A$2:$A$13,0))</x:f>
        <x:v>Office</x:v>
      </x:c>
      <x:c r="J35" t="str">
        <x:f>Raw_Orders!G35</x:f>
        <x:v>Partner</x:v>
      </x:c>
      <x:c r="K35" t="n">
        <x:f>Raw_Orders!E35</x:f>
        <x:v>2</x:v>
      </x:c>
      <x:c r="L35" s="12" t="n">
        <x:f>Raw_Orders!F35</x:f>
        <x:v>0</x:v>
      </x:c>
      <x:c r="M35" s="14" t="n">
        <x:f>INDEX(Products!$D$2:$D$13,MATCH(G35,Products!$A$2:$A$13,0))</x:f>
        <x:v>70</x:v>
      </x:c>
      <x:c r="N35" s="14" t="n">
        <x:f>INDEX(Products!$E$2:$E$13,MATCH(G35,Products!$A$2:$A$13,0))</x:f>
        <x:v>29</x:v>
      </x:c>
      <x:c r="O35" s="14" t="n">
        <x:f>K35*M35</x:f>
        <x:v>140</x:v>
      </x:c>
      <x:c r="P35" s="14" t="n">
        <x:f>O35*(1-L35)</x:f>
        <x:v>140</x:v>
      </x:c>
      <x:c r="Q35" s="14" t="n">
        <x:f>K35*N35</x:f>
        <x:v>58</x:v>
      </x:c>
      <x:c r="R35" s="14" t="n">
        <x:f>P35-Q35</x:f>
        <x:v>82</x:v>
      </x:c>
      <x:c r="S35" s="16" t="n">
        <x:f>IFERROR(R35/P35,0)</x:f>
        <x:v>0.5857142857142857</x:v>
      </x:c>
    </x:row>
    <x:row r="36" ht="15" hidden="0" customHeight="1">
      <x:c r="A36" t="str">
        <x:f>Raw_Orders!A36</x:f>
        <x:v>O0035</x:v>
      </x:c>
      <x:c r="B36" s="10" t="n">
        <x:f>Raw_Orders!B36</x:f>
        <x:v>45901</x:v>
      </x:c>
      <x:c r="C36" t="str">
        <x:f>Raw_Orders!C36</x:f>
        <x:v>C071</x:v>
      </x:c>
      <x:c r="D36" t="str">
        <x:f>INDEX(Customers!$B$2:$B$81,MATCH(C36,Customers!$A$2:$A$81,0))</x:f>
        <x:v>Customer 71</x:v>
      </x:c>
      <x:c r="E36" t="str">
        <x:f>INDEX(Customers!$C$2:$C$81,MATCH(C36,Customers!$A$2:$A$81,0))</x:f>
        <x:v>Corporate</x:v>
      </x:c>
      <x:c r="F36" t="str">
        <x:f>INDEX(Customers!$D$2:$D$81,MATCH(C36,Customers!$A$2:$A$81,0))</x:f>
        <x:v>East</x:v>
      </x:c>
      <x:c r="G36" t="str">
        <x:f>Raw_Orders!D36</x:f>
        <x:v>P003</x:v>
      </x:c>
      <x:c r="H36" t="str">
        <x:f>INDEX(Products!$B$2:$B$13,MATCH(G36,Products!$A$2:$A$13,0))</x:f>
        <x:v>USB-C Hub</x:v>
      </x:c>
      <x:c r="I36" t="str">
        <x:f>INDEX(Products!$C$2:$C$13,MATCH(G36,Products!$A$2:$A$13,0))</x:f>
        <x:v>Accessories</x:v>
      </x:c>
      <x:c r="J36" t="str">
        <x:f>Raw_Orders!G36</x:f>
        <x:v>Partner</x:v>
      </x:c>
      <x:c r="K36" t="n">
        <x:f>Raw_Orders!E36</x:f>
        <x:v>3</x:v>
      </x:c>
      <x:c r="L36" s="12" t="n">
        <x:f>Raw_Orders!F36</x:f>
        <x:v>0.1</x:v>
      </x:c>
      <x:c r="M36" s="14" t="n">
        <x:f>INDEX(Products!$D$2:$D$13,MATCH(G36,Products!$A$2:$A$13,0))</x:f>
        <x:v>65</x:v>
      </x:c>
      <x:c r="N36" s="14" t="n">
        <x:f>INDEX(Products!$E$2:$E$13,MATCH(G36,Products!$A$2:$A$13,0))</x:f>
        <x:v>31</x:v>
      </x:c>
      <x:c r="O36" s="14" t="n">
        <x:f>K36*M36</x:f>
        <x:v>195</x:v>
      </x:c>
      <x:c r="P36" s="14" t="n">
        <x:f>O36*(1-L36)</x:f>
        <x:v>175.5</x:v>
      </x:c>
      <x:c r="Q36" s="14" t="n">
        <x:f>K36*N36</x:f>
        <x:v>93</x:v>
      </x:c>
      <x:c r="R36" s="14" t="n">
        <x:f>P36-Q36</x:f>
        <x:v>82.5</x:v>
      </x:c>
      <x:c r="S36" s="16" t="n">
        <x:f>IFERROR(R36/P36,0)</x:f>
        <x:v>0.4700854700854701</x:v>
      </x:c>
    </x:row>
    <x:row r="37" ht="15" hidden="0" customHeight="1">
      <x:c r="A37" t="str">
        <x:f>Raw_Orders!A37</x:f>
        <x:v>O0036</x:v>
      </x:c>
      <x:c r="B37" s="10" t="n">
        <x:f>Raw_Orders!B37</x:f>
        <x:v>45874</x:v>
      </x:c>
      <x:c r="C37" t="str">
        <x:f>Raw_Orders!C37</x:f>
        <x:v>C028</x:v>
      </x:c>
      <x:c r="D37" t="str">
        <x:f>INDEX(Customers!$B$2:$B$81,MATCH(C37,Customers!$A$2:$A$81,0))</x:f>
        <x:v>Customer 28</x:v>
      </x:c>
      <x:c r="E37" t="str">
        <x:f>INDEX(Customers!$C$2:$C$81,MATCH(C37,Customers!$A$2:$A$81,0))</x:f>
        <x:v>Consumer</x:v>
      </x:c>
      <x:c r="F37" t="str">
        <x:f>INDEX(Customers!$D$2:$D$81,MATCH(C37,Customers!$A$2:$A$81,0))</x:f>
        <x:v>West</x:v>
      </x:c>
      <x:c r="G37" t="str">
        <x:f>Raw_Orders!D37</x:f>
        <x:v>P009</x:v>
      </x:c>
      <x:c r="H37" t="str">
        <x:f>INDEX(Products!$B$2:$B$13,MATCH(G37,Products!$A$2:$A$13,0))</x:f>
        <x:v>Desk Lamp</x:v>
      </x:c>
      <x:c r="I37" t="str">
        <x:f>INDEX(Products!$C$2:$C$13,MATCH(G37,Products!$A$2:$A$13,0))</x:f>
        <x:v>Office</x:v>
      </x:c>
      <x:c r="J37" t="str">
        <x:f>Raw_Orders!G37</x:f>
        <x:v>Online</x:v>
      </x:c>
      <x:c r="K37" t="n">
        <x:f>Raw_Orders!E37</x:f>
        <x:v>6</x:v>
      </x:c>
      <x:c r="L37" s="12" t="n">
        <x:f>Raw_Orders!F37</x:f>
        <x:v>0.15</x:v>
      </x:c>
      <x:c r="M37" s="14" t="n">
        <x:f>INDEX(Products!$D$2:$D$13,MATCH(G37,Products!$A$2:$A$13,0))</x:f>
        <x:v>70</x:v>
      </x:c>
      <x:c r="N37" s="14" t="n">
        <x:f>INDEX(Products!$E$2:$E$13,MATCH(G37,Products!$A$2:$A$13,0))</x:f>
        <x:v>29</x:v>
      </x:c>
      <x:c r="O37" s="14" t="n">
        <x:f>K37*M37</x:f>
        <x:v>420</x:v>
      </x:c>
      <x:c r="P37" s="14" t="n">
        <x:f>O37*(1-L37)</x:f>
        <x:v>357</x:v>
      </x:c>
      <x:c r="Q37" s="14" t="n">
        <x:f>K37*N37</x:f>
        <x:v>174</x:v>
      </x:c>
      <x:c r="R37" s="14" t="n">
        <x:f>P37-Q37</x:f>
        <x:v>183</x:v>
      </x:c>
      <x:c r="S37" s="16" t="n">
        <x:f>IFERROR(R37/P37,0)</x:f>
        <x:v>0.5126050420168067</x:v>
      </x:c>
    </x:row>
    <x:row r="38" ht="15" hidden="0" customHeight="1">
      <x:c r="A38" t="str">
        <x:f>Raw_Orders!A38</x:f>
        <x:v>O0037</x:v>
      </x:c>
      <x:c r="B38" s="10" t="n">
        <x:f>Raw_Orders!B38</x:f>
        <x:v>45817</x:v>
      </x:c>
      <x:c r="C38" t="str">
        <x:f>Raw_Orders!C38</x:f>
        <x:v>C052</x:v>
      </x:c>
      <x:c r="D38" t="str">
        <x:f>INDEX(Customers!$B$2:$B$81,MATCH(C38,Customers!$A$2:$A$81,0))</x:f>
        <x:v>Customer 52</x:v>
      </x:c>
      <x:c r="E38" t="str">
        <x:f>INDEX(Customers!$C$2:$C$81,MATCH(C38,Customers!$A$2:$A$81,0))</x:f>
        <x:v>Consumer</x:v>
      </x:c>
      <x:c r="F38" t="str">
        <x:f>INDEX(Customers!$D$2:$D$81,MATCH(C38,Customers!$A$2:$A$81,0))</x:f>
        <x:v>West</x:v>
      </x:c>
      <x:c r="G38" t="str">
        <x:f>Raw_Orders!D38</x:f>
        <x:v>P011</x:v>
      </x:c>
      <x:c r="H38" t="str">
        <x:f>INDEX(Products!$B$2:$B$13,MATCH(G38,Products!$A$2:$A$13,0))</x:f>
        <x:v>External HDD</x:v>
      </x:c>
      <x:c r="I38" t="str">
        <x:f>INDEX(Products!$C$2:$C$13,MATCH(G38,Products!$A$2:$A$13,0))</x:f>
        <x:v>Storage</x:v>
      </x:c>
      <x:c r="J38" t="str">
        <x:f>Raw_Orders!G38</x:f>
        <x:v>Retail</x:v>
      </x:c>
      <x:c r="K38" t="n">
        <x:f>Raw_Orders!E38</x:f>
        <x:v>6</x:v>
      </x:c>
      <x:c r="L38" s="12" t="n">
        <x:f>Raw_Orders!F38</x:f>
        <x:v>0</x:v>
      </x:c>
      <x:c r="M38" s="14" t="n">
        <x:f>INDEX(Products!$D$2:$D$13,MATCH(G38,Products!$A$2:$A$13,0))</x:f>
        <x:v>120</x:v>
      </x:c>
      <x:c r="N38" s="14" t="n">
        <x:f>INDEX(Products!$E$2:$E$13,MATCH(G38,Products!$A$2:$A$13,0))</x:f>
        <x:v>72</x:v>
      </x:c>
      <x:c r="O38" s="14" t="n">
        <x:f>K38*M38</x:f>
        <x:v>720</x:v>
      </x:c>
      <x:c r="P38" s="14" t="n">
        <x:f>O38*(1-L38)</x:f>
        <x:v>720</x:v>
      </x:c>
      <x:c r="Q38" s="14" t="n">
        <x:f>K38*N38</x:f>
        <x:v>432</x:v>
      </x:c>
      <x:c r="R38" s="14" t="n">
        <x:f>P38-Q38</x:f>
        <x:v>288</x:v>
      </x:c>
      <x:c r="S38" s="16" t="n">
        <x:f>IFERROR(R38/P38,0)</x:f>
        <x:v>0.4</x:v>
      </x:c>
    </x:row>
    <x:row r="39" ht="15" hidden="0" customHeight="1">
      <x:c r="A39" t="str">
        <x:f>Raw_Orders!A39</x:f>
        <x:v>O0038</x:v>
      </x:c>
      <x:c r="B39" s="10" t="n">
        <x:f>Raw_Orders!B39</x:f>
        <x:v>45922</x:v>
      </x:c>
      <x:c r="C39" t="str">
        <x:f>Raw_Orders!C39</x:f>
        <x:v>C058</x:v>
      </x:c>
      <x:c r="D39" t="str">
        <x:f>INDEX(Customers!$B$2:$B$81,MATCH(C39,Customers!$A$2:$A$81,0))</x:f>
        <x:v>Customer 58</x:v>
      </x:c>
      <x:c r="E39" t="str">
        <x:f>INDEX(Customers!$C$2:$C$81,MATCH(C39,Customers!$A$2:$A$81,0))</x:f>
        <x:v>Consumer</x:v>
      </x:c>
      <x:c r="F39" t="str">
        <x:f>INDEX(Customers!$D$2:$D$81,MATCH(C39,Customers!$A$2:$A$81,0))</x:f>
        <x:v>South</x:v>
      </x:c>
      <x:c r="G39" t="str">
        <x:f>Raw_Orders!D39</x:f>
        <x:v>P002</x:v>
      </x:c>
      <x:c r="H39" t="str">
        <x:f>INDEX(Products!$B$2:$B$13,MATCH(G39,Products!$A$2:$A$13,0))</x:f>
        <x:v>Mechanical Keyboard</x:v>
      </x:c>
      <x:c r="I39" t="str">
        <x:f>INDEX(Products!$C$2:$C$13,MATCH(G39,Products!$A$2:$A$13,0))</x:f>
        <x:v>Accessories</x:v>
      </x:c>
      <x:c r="J39" t="str">
        <x:f>Raw_Orders!G39</x:f>
        <x:v>Online</x:v>
      </x:c>
      <x:c r="K39" t="n">
        <x:f>Raw_Orders!E39</x:f>
        <x:v>2</x:v>
      </x:c>
      <x:c r="L39" s="12" t="n">
        <x:f>Raw_Orders!F39</x:f>
        <x:v>0</x:v>
      </x:c>
      <x:c r="M39" s="14" t="n">
        <x:f>INDEX(Products!$D$2:$D$13,MATCH(G39,Products!$A$2:$A$13,0))</x:f>
        <x:v>110</x:v>
      </x:c>
      <x:c r="N39" s="14" t="n">
        <x:f>INDEX(Products!$E$2:$E$13,MATCH(G39,Products!$A$2:$A$13,0))</x:f>
        <x:v>58</x:v>
      </x:c>
      <x:c r="O39" s="14" t="n">
        <x:f>K39*M39</x:f>
        <x:v>220</x:v>
      </x:c>
      <x:c r="P39" s="14" t="n">
        <x:f>O39*(1-L39)</x:f>
        <x:v>220</x:v>
      </x:c>
      <x:c r="Q39" s="14" t="n">
        <x:f>K39*N39</x:f>
        <x:v>116</x:v>
      </x:c>
      <x:c r="R39" s="14" t="n">
        <x:f>P39-Q39</x:f>
        <x:v>104</x:v>
      </x:c>
      <x:c r="S39" s="16" t="n">
        <x:f>IFERROR(R39/P39,0)</x:f>
        <x:v>0.4727272727272727</x:v>
      </x:c>
    </x:row>
    <x:row r="40" ht="15" hidden="0" customHeight="1">
      <x:c r="A40" t="str">
        <x:f>Raw_Orders!A40</x:f>
        <x:v>O0039</x:v>
      </x:c>
      <x:c r="B40" s="10" t="n">
        <x:f>Raw_Orders!B40</x:f>
        <x:v>45831</x:v>
      </x:c>
      <x:c r="C40" t="str">
        <x:f>Raw_Orders!C40</x:f>
        <x:v>C003</x:v>
      </x:c>
      <x:c r="D40" t="str">
        <x:f>INDEX(Customers!$B$2:$B$81,MATCH(C40,Customers!$A$2:$A$81,0))</x:f>
        <x:v>Customer 03</x:v>
      </x:c>
      <x:c r="E40" t="str">
        <x:f>INDEX(Customers!$C$2:$C$81,MATCH(C40,Customers!$A$2:$A$81,0))</x:f>
        <x:v>Small Business</x:v>
      </x:c>
      <x:c r="F40" t="str">
        <x:f>INDEX(Customers!$D$2:$D$81,MATCH(C40,Customers!$A$2:$A$81,0))</x:f>
        <x:v>East</x:v>
      </x:c>
      <x:c r="G40" t="str">
        <x:f>Raw_Orders!D40</x:f>
        <x:v>P010</x:v>
      </x:c>
      <x:c r="H40" t="str">
        <x:f>INDEX(Products!$B$2:$B$13,MATCH(G40,Products!$A$2:$A$13,0))</x:f>
        <x:v>Portable SSD</x:v>
      </x:c>
      <x:c r="I40" t="str">
        <x:f>INDEX(Products!$C$2:$C$13,MATCH(G40,Products!$A$2:$A$13,0))</x:f>
        <x:v>Storage</x:v>
      </x:c>
      <x:c r="J40" t="str">
        <x:f>Raw_Orders!G40</x:f>
        <x:v>Partner</x:v>
      </x:c>
      <x:c r="K40" t="n">
        <x:f>Raw_Orders!E40</x:f>
        <x:v>5</x:v>
      </x:c>
      <x:c r="L40" s="12" t="n">
        <x:f>Raw_Orders!F40</x:f>
        <x:v>0</x:v>
      </x:c>
      <x:c r="M40" s="14" t="n">
        <x:f>INDEX(Products!$D$2:$D$13,MATCH(G40,Products!$A$2:$A$13,0))</x:f>
        <x:v>145</x:v>
      </x:c>
      <x:c r="N40" s="14" t="n">
        <x:f>INDEX(Products!$E$2:$E$13,MATCH(G40,Products!$A$2:$A$13,0))</x:f>
        <x:v>86</x:v>
      </x:c>
      <x:c r="O40" s="14" t="n">
        <x:f>K40*M40</x:f>
        <x:v>725</x:v>
      </x:c>
      <x:c r="P40" s="14" t="n">
        <x:f>O40*(1-L40)</x:f>
        <x:v>725</x:v>
      </x:c>
      <x:c r="Q40" s="14" t="n">
        <x:f>K40*N40</x:f>
        <x:v>430</x:v>
      </x:c>
      <x:c r="R40" s="14" t="n">
        <x:f>P40-Q40</x:f>
        <x:v>295</x:v>
      </x:c>
      <x:c r="S40" s="16" t="n">
        <x:f>IFERROR(R40/P40,0)</x:f>
        <x:v>0.4068965517241379</x:v>
      </x:c>
    </x:row>
    <x:row r="41" ht="15" hidden="0" customHeight="1">
      <x:c r="A41" t="str">
        <x:f>Raw_Orders!A41</x:f>
        <x:v>O0040</x:v>
      </x:c>
      <x:c r="B41" s="10" t="n">
        <x:f>Raw_Orders!B41</x:f>
        <x:v>45770</x:v>
      </x:c>
      <x:c r="C41" t="str">
        <x:f>Raw_Orders!C41</x:f>
        <x:v>C001</x:v>
      </x:c>
      <x:c r="D41" t="str">
        <x:f>INDEX(Customers!$B$2:$B$81,MATCH(C41,Customers!$A$2:$A$81,0))</x:f>
        <x:v>Customer 01</x:v>
      </x:c>
      <x:c r="E41" t="str">
        <x:f>INDEX(Customers!$C$2:$C$81,MATCH(C41,Customers!$A$2:$A$81,0))</x:f>
        <x:v>Consumer</x:v>
      </x:c>
      <x:c r="F41" t="str">
        <x:f>INDEX(Customers!$D$2:$D$81,MATCH(C41,Customers!$A$2:$A$81,0))</x:f>
        <x:v>North</x:v>
      </x:c>
      <x:c r="G41" t="str">
        <x:f>Raw_Orders!D41</x:f>
        <x:v>P002</x:v>
      </x:c>
      <x:c r="H41" t="str">
        <x:f>INDEX(Products!$B$2:$B$13,MATCH(G41,Products!$A$2:$A$13,0))</x:f>
        <x:v>Mechanical Keyboard</x:v>
      </x:c>
      <x:c r="I41" t="str">
        <x:f>INDEX(Products!$C$2:$C$13,MATCH(G41,Products!$A$2:$A$13,0))</x:f>
        <x:v>Accessories</x:v>
      </x:c>
      <x:c r="J41" t="str">
        <x:f>Raw_Orders!G41</x:f>
        <x:v>Online</x:v>
      </x:c>
      <x:c r="K41" t="n">
        <x:f>Raw_Orders!E41</x:f>
        <x:v>6</x:v>
      </x:c>
      <x:c r="L41" s="12" t="n">
        <x:f>Raw_Orders!F41</x:f>
        <x:v>0.15</x:v>
      </x:c>
      <x:c r="M41" s="14" t="n">
        <x:f>INDEX(Products!$D$2:$D$13,MATCH(G41,Products!$A$2:$A$13,0))</x:f>
        <x:v>110</x:v>
      </x:c>
      <x:c r="N41" s="14" t="n">
        <x:f>INDEX(Products!$E$2:$E$13,MATCH(G41,Products!$A$2:$A$13,0))</x:f>
        <x:v>58</x:v>
      </x:c>
      <x:c r="O41" s="14" t="n">
        <x:f>K41*M41</x:f>
        <x:v>660</x:v>
      </x:c>
      <x:c r="P41" s="14" t="n">
        <x:f>O41*(1-L41)</x:f>
        <x:v>561</x:v>
      </x:c>
      <x:c r="Q41" s="14" t="n">
        <x:f>K41*N41</x:f>
        <x:v>348</x:v>
      </x:c>
      <x:c r="R41" s="14" t="n">
        <x:f>P41-Q41</x:f>
        <x:v>213</x:v>
      </x:c>
      <x:c r="S41" s="16" t="n">
        <x:f>IFERROR(R41/P41,0)</x:f>
        <x:v>0.37967914438502676</x:v>
      </x:c>
    </x:row>
    <x:row r="42" ht="15" hidden="0" customHeight="1">
      <x:c r="A42" t="str">
        <x:f>Raw_Orders!A42</x:f>
        <x:v>O0041</x:v>
      </x:c>
      <x:c r="B42" s="10" t="n">
        <x:f>Raw_Orders!B42</x:f>
        <x:v>45775</x:v>
      </x:c>
      <x:c r="C42" t="str">
        <x:f>Raw_Orders!C42</x:f>
        <x:v>C009</x:v>
      </x:c>
      <x:c r="D42" t="str">
        <x:f>INDEX(Customers!$B$2:$B$81,MATCH(C42,Customers!$A$2:$A$81,0))</x:f>
        <x:v>Customer 09</x:v>
      </x:c>
      <x:c r="E42" t="str">
        <x:f>INDEX(Customers!$C$2:$C$81,MATCH(C42,Customers!$A$2:$A$81,0))</x:f>
        <x:v>Small Business</x:v>
      </x:c>
      <x:c r="F42" t="str">
        <x:f>INDEX(Customers!$D$2:$D$81,MATCH(C42,Customers!$A$2:$A$81,0))</x:f>
        <x:v>North</x:v>
      </x:c>
      <x:c r="G42" t="str">
        <x:f>Raw_Orders!D42</x:f>
        <x:v>P001</x:v>
      </x:c>
      <x:c r="H42" t="str">
        <x:f>INDEX(Products!$B$2:$B$13,MATCH(G42,Products!$A$2:$A$13,0))</x:f>
        <x:v>Wireless Headset</x:v>
      </x:c>
      <x:c r="I42" t="str">
        <x:f>INDEX(Products!$C$2:$C$13,MATCH(G42,Products!$A$2:$A$13,0))</x:f>
        <x:v>Accessories</x:v>
      </x:c>
      <x:c r="J42" t="str">
        <x:f>Raw_Orders!G42</x:f>
        <x:v>Partner</x:v>
      </x:c>
      <x:c r="K42" t="n">
        <x:f>Raw_Orders!E42</x:f>
        <x:v>3</x:v>
      </x:c>
      <x:c r="L42" s="12" t="n">
        <x:f>Raw_Orders!F42</x:f>
        <x:v>0</x:v>
      </x:c>
      <x:c r="M42" s="14" t="n">
        <x:f>INDEX(Products!$D$2:$D$13,MATCH(G42,Products!$A$2:$A$13,0))</x:f>
        <x:v>85</x:v>
      </x:c>
      <x:c r="N42" s="14" t="n">
        <x:f>INDEX(Products!$E$2:$E$13,MATCH(G42,Products!$A$2:$A$13,0))</x:f>
        <x:v>42</x:v>
      </x:c>
      <x:c r="O42" s="14" t="n">
        <x:f>K42*M42</x:f>
        <x:v>255</x:v>
      </x:c>
      <x:c r="P42" s="14" t="n">
        <x:f>O42*(1-L42)</x:f>
        <x:v>255</x:v>
      </x:c>
      <x:c r="Q42" s="14" t="n">
        <x:f>K42*N42</x:f>
        <x:v>126</x:v>
      </x:c>
      <x:c r="R42" s="14" t="n">
        <x:f>P42-Q42</x:f>
        <x:v>129</x:v>
      </x:c>
      <x:c r="S42" s="16" t="n">
        <x:f>IFERROR(R42/P42,0)</x:f>
        <x:v>0.5058823529411764</x:v>
      </x:c>
    </x:row>
    <x:row r="43" ht="15" hidden="0" customHeight="1">
      <x:c r="A43" t="str">
        <x:f>Raw_Orders!A43</x:f>
        <x:v>O0042</x:v>
      </x:c>
      <x:c r="B43" s="10" t="n">
        <x:f>Raw_Orders!B43</x:f>
        <x:v>45779</x:v>
      </x:c>
      <x:c r="C43" t="str">
        <x:f>Raw_Orders!C43</x:f>
        <x:v>C036</x:v>
      </x:c>
      <x:c r="D43" t="str">
        <x:f>INDEX(Customers!$B$2:$B$81,MATCH(C43,Customers!$A$2:$A$81,0))</x:f>
        <x:v>Customer 36</x:v>
      </x:c>
      <x:c r="E43" t="str">
        <x:f>INDEX(Customers!$C$2:$C$81,MATCH(C43,Customers!$A$2:$A$81,0))</x:f>
        <x:v>Small Business</x:v>
      </x:c>
      <x:c r="F43" t="str">
        <x:f>INDEX(Customers!$D$2:$D$81,MATCH(C43,Customers!$A$2:$A$81,0))</x:f>
        <x:v>West</x:v>
      </x:c>
      <x:c r="G43" t="str">
        <x:f>Raw_Orders!D43</x:f>
        <x:v>P011</x:v>
      </x:c>
      <x:c r="H43" t="str">
        <x:f>INDEX(Products!$B$2:$B$13,MATCH(G43,Products!$A$2:$A$13,0))</x:f>
        <x:v>External HDD</x:v>
      </x:c>
      <x:c r="I43" t="str">
        <x:f>INDEX(Products!$C$2:$C$13,MATCH(G43,Products!$A$2:$A$13,0))</x:f>
        <x:v>Storage</x:v>
      </x:c>
      <x:c r="J43" t="str">
        <x:f>Raw_Orders!G43</x:f>
        <x:v>Partner</x:v>
      </x:c>
      <x:c r="K43" t="n">
        <x:f>Raw_Orders!E43</x:f>
        <x:v>4</x:v>
      </x:c>
      <x:c r="L43" s="12" t="n">
        <x:f>Raw_Orders!F43</x:f>
        <x:v>0</x:v>
      </x:c>
      <x:c r="M43" s="14" t="n">
        <x:f>INDEX(Products!$D$2:$D$13,MATCH(G43,Products!$A$2:$A$13,0))</x:f>
        <x:v>120</x:v>
      </x:c>
      <x:c r="N43" s="14" t="n">
        <x:f>INDEX(Products!$E$2:$E$13,MATCH(G43,Products!$A$2:$A$13,0))</x:f>
        <x:v>72</x:v>
      </x:c>
      <x:c r="O43" s="14" t="n">
        <x:f>K43*M43</x:f>
        <x:v>480</x:v>
      </x:c>
      <x:c r="P43" s="14" t="n">
        <x:f>O43*(1-L43)</x:f>
        <x:v>480</x:v>
      </x:c>
      <x:c r="Q43" s="14" t="n">
        <x:f>K43*N43</x:f>
        <x:v>288</x:v>
      </x:c>
      <x:c r="R43" s="14" t="n">
        <x:f>P43-Q43</x:f>
        <x:v>192</x:v>
      </x:c>
      <x:c r="S43" s="16" t="n">
        <x:f>IFERROR(R43/P43,0)</x:f>
        <x:v>0.4</x:v>
      </x:c>
    </x:row>
    <x:row r="44" ht="15" hidden="0" customHeight="1">
      <x:c r="A44" t="str">
        <x:f>Raw_Orders!A44</x:f>
        <x:v>O0043</x:v>
      </x:c>
      <x:c r="B44" s="10" t="n">
        <x:f>Raw_Orders!B44</x:f>
        <x:v>45725</x:v>
      </x:c>
      <x:c r="C44" t="str">
        <x:f>Raw_Orders!C44</x:f>
        <x:v>C074</x:v>
      </x:c>
      <x:c r="D44" t="str">
        <x:f>INDEX(Customers!$B$2:$B$81,MATCH(C44,Customers!$A$2:$A$81,0))</x:f>
        <x:v>Customer 74</x:v>
      </x:c>
      <x:c r="E44" t="str">
        <x:f>INDEX(Customers!$C$2:$C$81,MATCH(C44,Customers!$A$2:$A$81,0))</x:f>
        <x:v>Corporate</x:v>
      </x:c>
      <x:c r="F44" t="str">
        <x:f>INDEX(Customers!$D$2:$D$81,MATCH(C44,Customers!$A$2:$A$81,0))</x:f>
        <x:v>South</x:v>
      </x:c>
      <x:c r="G44" t="str">
        <x:f>Raw_Orders!D44</x:f>
        <x:v>P010</x:v>
      </x:c>
      <x:c r="H44" t="str">
        <x:f>INDEX(Products!$B$2:$B$13,MATCH(G44,Products!$A$2:$A$13,0))</x:f>
        <x:v>Portable SSD</x:v>
      </x:c>
      <x:c r="I44" t="str">
        <x:f>INDEX(Products!$C$2:$C$13,MATCH(G44,Products!$A$2:$A$13,0))</x:f>
        <x:v>Storage</x:v>
      </x:c>
      <x:c r="J44" t="str">
        <x:f>Raw_Orders!G44</x:f>
        <x:v>Retail</x:v>
      </x:c>
      <x:c r="K44" t="n">
        <x:f>Raw_Orders!E44</x:f>
        <x:v>4</x:v>
      </x:c>
      <x:c r="L44" s="12" t="n">
        <x:f>Raw_Orders!F44</x:f>
        <x:v>0</x:v>
      </x:c>
      <x:c r="M44" s="14" t="n">
        <x:f>INDEX(Products!$D$2:$D$13,MATCH(G44,Products!$A$2:$A$13,0))</x:f>
        <x:v>145</x:v>
      </x:c>
      <x:c r="N44" s="14" t="n">
        <x:f>INDEX(Products!$E$2:$E$13,MATCH(G44,Products!$A$2:$A$13,0))</x:f>
        <x:v>86</x:v>
      </x:c>
      <x:c r="O44" s="14" t="n">
        <x:f>K44*M44</x:f>
        <x:v>580</x:v>
      </x:c>
      <x:c r="P44" s="14" t="n">
        <x:f>O44*(1-L44)</x:f>
        <x:v>580</x:v>
      </x:c>
      <x:c r="Q44" s="14" t="n">
        <x:f>K44*N44</x:f>
        <x:v>344</x:v>
      </x:c>
      <x:c r="R44" s="14" t="n">
        <x:f>P44-Q44</x:f>
        <x:v>236</x:v>
      </x:c>
      <x:c r="S44" s="16" t="n">
        <x:f>IFERROR(R44/P44,0)</x:f>
        <x:v>0.4068965517241379</x:v>
      </x:c>
    </x:row>
    <x:row r="45" ht="15" hidden="0" customHeight="1">
      <x:c r="A45" t="str">
        <x:f>Raw_Orders!A45</x:f>
        <x:v>O0044</x:v>
      </x:c>
      <x:c r="B45" s="10" t="n">
        <x:f>Raw_Orders!B45</x:f>
        <x:v>45866</x:v>
      </x:c>
      <x:c r="C45" t="str">
        <x:f>Raw_Orders!C45</x:f>
        <x:v>C025</x:v>
      </x:c>
      <x:c r="D45" t="str">
        <x:f>INDEX(Customers!$B$2:$B$81,MATCH(C45,Customers!$A$2:$A$81,0))</x:f>
        <x:v>Customer 25</x:v>
      </x:c>
      <x:c r="E45" t="str">
        <x:f>INDEX(Customers!$C$2:$C$81,MATCH(C45,Customers!$A$2:$A$81,0))</x:f>
        <x:v>Consumer</x:v>
      </x:c>
      <x:c r="F45" t="str">
        <x:f>INDEX(Customers!$D$2:$D$81,MATCH(C45,Customers!$A$2:$A$81,0))</x:f>
        <x:v>North</x:v>
      </x:c>
      <x:c r="G45" t="str">
        <x:f>Raw_Orders!D45</x:f>
        <x:v>P002</x:v>
      </x:c>
      <x:c r="H45" t="str">
        <x:f>INDEX(Products!$B$2:$B$13,MATCH(G45,Products!$A$2:$A$13,0))</x:f>
        <x:v>Mechanical Keyboard</x:v>
      </x:c>
      <x:c r="I45" t="str">
        <x:f>INDEX(Products!$C$2:$C$13,MATCH(G45,Products!$A$2:$A$13,0))</x:f>
        <x:v>Accessories</x:v>
      </x:c>
      <x:c r="J45" t="str">
        <x:f>Raw_Orders!G45</x:f>
        <x:v>Retail</x:v>
      </x:c>
      <x:c r="K45" t="n">
        <x:f>Raw_Orders!E45</x:f>
        <x:v>1</x:v>
      </x:c>
      <x:c r="L45" s="12" t="n">
        <x:f>Raw_Orders!F45</x:f>
        <x:v>0.15</x:v>
      </x:c>
      <x:c r="M45" s="14" t="n">
        <x:f>INDEX(Products!$D$2:$D$13,MATCH(G45,Products!$A$2:$A$13,0))</x:f>
        <x:v>110</x:v>
      </x:c>
      <x:c r="N45" s="14" t="n">
        <x:f>INDEX(Products!$E$2:$E$13,MATCH(G45,Products!$A$2:$A$13,0))</x:f>
        <x:v>58</x:v>
      </x:c>
      <x:c r="O45" s="14" t="n">
        <x:f>K45*M45</x:f>
        <x:v>110</x:v>
      </x:c>
      <x:c r="P45" s="14" t="n">
        <x:f>O45*(1-L45)</x:f>
        <x:v>93.5</x:v>
      </x:c>
      <x:c r="Q45" s="14" t="n">
        <x:f>K45*N45</x:f>
        <x:v>58</x:v>
      </x:c>
      <x:c r="R45" s="14" t="n">
        <x:f>P45-Q45</x:f>
        <x:v>35.5</x:v>
      </x:c>
      <x:c r="S45" s="16" t="n">
        <x:f>IFERROR(R45/P45,0)</x:f>
        <x:v>0.37967914438502676</x:v>
      </x:c>
    </x:row>
    <x:row r="46" ht="15" hidden="0" customHeight="1">
      <x:c r="A46" t="str">
        <x:f>Raw_Orders!A46</x:f>
        <x:v>O0045</x:v>
      </x:c>
      <x:c r="B46" s="10" t="n">
        <x:f>Raw_Orders!B46</x:f>
        <x:v>45839</x:v>
      </x:c>
      <x:c r="C46" t="str">
        <x:f>Raw_Orders!C46</x:f>
        <x:v>C055</x:v>
      </x:c>
      <x:c r="D46" t="str">
        <x:f>INDEX(Customers!$B$2:$B$81,MATCH(C46,Customers!$A$2:$A$81,0))</x:f>
        <x:v>Customer 55</x:v>
      </x:c>
      <x:c r="E46" t="str">
        <x:f>INDEX(Customers!$C$2:$C$81,MATCH(C46,Customers!$A$2:$A$81,0))</x:f>
        <x:v>Consumer</x:v>
      </x:c>
      <x:c r="F46" t="str">
        <x:f>INDEX(Customers!$D$2:$D$81,MATCH(C46,Customers!$A$2:$A$81,0))</x:f>
        <x:v>East</x:v>
      </x:c>
      <x:c r="G46" t="str">
        <x:f>Raw_Orders!D46</x:f>
        <x:v>P007</x:v>
      </x:c>
      <x:c r="H46" t="str">
        <x:f>INDEX(Products!$B$2:$B$13,MATCH(G46,Products!$A$2:$A$13,0))</x:f>
        <x:v>Ergonomic Chair</x:v>
      </x:c>
      <x:c r="I46" t="str">
        <x:f>INDEX(Products!$C$2:$C$13,MATCH(G46,Products!$A$2:$A$13,0))</x:f>
        <x:v>Office</x:v>
      </x:c>
      <x:c r="J46" t="str">
        <x:f>Raw_Orders!G46</x:f>
        <x:v>Online</x:v>
      </x:c>
      <x:c r="K46" t="n">
        <x:f>Raw_Orders!E46</x:f>
        <x:v>4</x:v>
      </x:c>
      <x:c r="L46" s="12" t="n">
        <x:f>Raw_Orders!F46</x:f>
        <x:v>0.15</x:v>
      </x:c>
      <x:c r="M46" s="14" t="n">
        <x:f>INDEX(Products!$D$2:$D$13,MATCH(G46,Products!$A$2:$A$13,0))</x:f>
        <x:v>390</x:v>
      </x:c>
      <x:c r="N46" s="14" t="n">
        <x:f>INDEX(Products!$E$2:$E$13,MATCH(G46,Products!$A$2:$A$13,0))</x:f>
        <x:v>245</x:v>
      </x:c>
      <x:c r="O46" s="14" t="n">
        <x:f>K46*M46</x:f>
        <x:v>1560</x:v>
      </x:c>
      <x:c r="P46" s="14" t="n">
        <x:f>O46*(1-L46)</x:f>
        <x:v>1326</x:v>
      </x:c>
      <x:c r="Q46" s="14" t="n">
        <x:f>K46*N46</x:f>
        <x:v>980</x:v>
      </x:c>
      <x:c r="R46" s="14" t="n">
        <x:f>P46-Q46</x:f>
        <x:v>346</x:v>
      </x:c>
      <x:c r="S46" s="16" t="n">
        <x:f>IFERROR(R46/P46,0)</x:f>
        <x:v>0.2609351432880845</x:v>
      </x:c>
    </x:row>
    <x:row r="47" ht="15" hidden="0" customHeight="1">
      <x:c r="A47" t="str">
        <x:f>Raw_Orders!A47</x:f>
        <x:v>O0046</x:v>
      </x:c>
      <x:c r="B47" s="10" t="n">
        <x:f>Raw_Orders!B47</x:f>
        <x:v>46002</x:v>
      </x:c>
      <x:c r="C47" t="str">
        <x:f>Raw_Orders!C47</x:f>
        <x:v>C013</x:v>
      </x:c>
      <x:c r="D47" t="str">
        <x:f>INDEX(Customers!$B$2:$B$81,MATCH(C47,Customers!$A$2:$A$81,0))</x:f>
        <x:v>Customer 13</x:v>
      </x:c>
      <x:c r="E47" t="str">
        <x:f>INDEX(Customers!$C$2:$C$81,MATCH(C47,Customers!$A$2:$A$81,0))</x:f>
        <x:v>Consumer</x:v>
      </x:c>
      <x:c r="F47" t="str">
        <x:f>INDEX(Customers!$D$2:$D$81,MATCH(C47,Customers!$A$2:$A$81,0))</x:f>
        <x:v>North</x:v>
      </x:c>
      <x:c r="G47" t="str">
        <x:f>Raw_Orders!D47</x:f>
        <x:v>P001</x:v>
      </x:c>
      <x:c r="H47" t="str">
        <x:f>INDEX(Products!$B$2:$B$13,MATCH(G47,Products!$A$2:$A$13,0))</x:f>
        <x:v>Wireless Headset</x:v>
      </x:c>
      <x:c r="I47" t="str">
        <x:f>INDEX(Products!$C$2:$C$13,MATCH(G47,Products!$A$2:$A$13,0))</x:f>
        <x:v>Accessories</x:v>
      </x:c>
      <x:c r="J47" t="str">
        <x:f>Raw_Orders!G47</x:f>
        <x:v>Retail</x:v>
      </x:c>
      <x:c r="K47" t="n">
        <x:f>Raw_Orders!E47</x:f>
        <x:v>4</x:v>
      </x:c>
      <x:c r="L47" s="12" t="n">
        <x:f>Raw_Orders!F47</x:f>
        <x:v>0.15</x:v>
      </x:c>
      <x:c r="M47" s="14" t="n">
        <x:f>INDEX(Products!$D$2:$D$13,MATCH(G47,Products!$A$2:$A$13,0))</x:f>
        <x:v>85</x:v>
      </x:c>
      <x:c r="N47" s="14" t="n">
        <x:f>INDEX(Products!$E$2:$E$13,MATCH(G47,Products!$A$2:$A$13,0))</x:f>
        <x:v>42</x:v>
      </x:c>
      <x:c r="O47" s="14" t="n">
        <x:f>K47*M47</x:f>
        <x:v>340</x:v>
      </x:c>
      <x:c r="P47" s="14" t="n">
        <x:f>O47*(1-L47)</x:f>
        <x:v>289</x:v>
      </x:c>
      <x:c r="Q47" s="14" t="n">
        <x:f>K47*N47</x:f>
        <x:v>168</x:v>
      </x:c>
      <x:c r="R47" s="14" t="n">
        <x:f>P47-Q47</x:f>
        <x:v>121</x:v>
      </x:c>
      <x:c r="S47" s="16" t="n">
        <x:f>IFERROR(R47/P47,0)</x:f>
        <x:v>0.4186851211072664</x:v>
      </x:c>
    </x:row>
    <x:row r="48" ht="15" hidden="0" customHeight="1">
      <x:c r="A48" t="str">
        <x:f>Raw_Orders!A48</x:f>
        <x:v>O0047</x:v>
      </x:c>
      <x:c r="B48" s="10" t="n">
        <x:f>Raw_Orders!B48</x:f>
        <x:v>45713</x:v>
      </x:c>
      <x:c r="C48" t="str">
        <x:f>Raw_Orders!C48</x:f>
        <x:v>C032</x:v>
      </x:c>
      <x:c r="D48" t="str">
        <x:f>INDEX(Customers!$B$2:$B$81,MATCH(C48,Customers!$A$2:$A$81,0))</x:f>
        <x:v>Customer 32</x:v>
      </x:c>
      <x:c r="E48" t="str">
        <x:f>INDEX(Customers!$C$2:$C$81,MATCH(C48,Customers!$A$2:$A$81,0))</x:f>
        <x:v>Corporate</x:v>
      </x:c>
      <x:c r="F48" t="str">
        <x:f>INDEX(Customers!$D$2:$D$81,MATCH(C48,Customers!$A$2:$A$81,0))</x:f>
        <x:v>West</x:v>
      </x:c>
      <x:c r="G48" t="str">
        <x:f>Raw_Orders!D48</x:f>
        <x:v>P004</x:v>
      </x:c>
      <x:c r="H48" t="str">
        <x:f>INDEX(Products!$B$2:$B$13,MATCH(G48,Products!$A$2:$A$13,0))</x:f>
        <x:v>24in Monitor</x:v>
      </x:c>
      <x:c r="I48" t="str">
        <x:f>INDEX(Products!$C$2:$C$13,MATCH(G48,Products!$A$2:$A$13,0))</x:f>
        <x:v>Displays</x:v>
      </x:c>
      <x:c r="J48" t="str">
        <x:f>Raw_Orders!G48</x:f>
        <x:v>Retail</x:v>
      </x:c>
      <x:c r="K48" t="n">
        <x:f>Raw_Orders!E48</x:f>
        <x:v>2</x:v>
      </x:c>
      <x:c r="L48" s="12" t="n">
        <x:f>Raw_Orders!F48</x:f>
        <x:v>0.1</x:v>
      </x:c>
      <x:c r="M48" s="14" t="n">
        <x:f>INDEX(Products!$D$2:$D$13,MATCH(G48,Products!$A$2:$A$13,0))</x:f>
        <x:v>220</x:v>
      </x:c>
      <x:c r="N48" s="14" t="n">
        <x:f>INDEX(Products!$E$2:$E$13,MATCH(G48,Products!$A$2:$A$13,0))</x:f>
        <x:v>142</x:v>
      </x:c>
      <x:c r="O48" s="14" t="n">
        <x:f>K48*M48</x:f>
        <x:v>440</x:v>
      </x:c>
      <x:c r="P48" s="14" t="n">
        <x:f>O48*(1-L48)</x:f>
        <x:v>396</x:v>
      </x:c>
      <x:c r="Q48" s="14" t="n">
        <x:f>K48*N48</x:f>
        <x:v>284</x:v>
      </x:c>
      <x:c r="R48" s="14" t="n">
        <x:f>P48-Q48</x:f>
        <x:v>112</x:v>
      </x:c>
      <x:c r="S48" s="16" t="n">
        <x:f>IFERROR(R48/P48,0)</x:f>
        <x:v>0.2828282828282828</x:v>
      </x:c>
    </x:row>
    <x:row r="49" ht="15" hidden="0" customHeight="1">
      <x:c r="A49" t="str">
        <x:f>Raw_Orders!A49</x:f>
        <x:v>O0048</x:v>
      </x:c>
      <x:c r="B49" s="10" t="n">
        <x:f>Raw_Orders!B49</x:f>
        <x:v>45729</x:v>
      </x:c>
      <x:c r="C49" t="str">
        <x:f>Raw_Orders!C49</x:f>
        <x:v>C055</x:v>
      </x:c>
      <x:c r="D49" t="str">
        <x:f>INDEX(Customers!$B$2:$B$81,MATCH(C49,Customers!$A$2:$A$81,0))</x:f>
        <x:v>Customer 55</x:v>
      </x:c>
      <x:c r="E49" t="str">
        <x:f>INDEX(Customers!$C$2:$C$81,MATCH(C49,Customers!$A$2:$A$81,0))</x:f>
        <x:v>Consumer</x:v>
      </x:c>
      <x:c r="F49" t="str">
        <x:f>INDEX(Customers!$D$2:$D$81,MATCH(C49,Customers!$A$2:$A$81,0))</x:f>
        <x:v>East</x:v>
      </x:c>
      <x:c r="G49" t="str">
        <x:f>Raw_Orders!D49</x:f>
        <x:v>P003</x:v>
      </x:c>
      <x:c r="H49" t="str">
        <x:f>INDEX(Products!$B$2:$B$13,MATCH(G49,Products!$A$2:$A$13,0))</x:f>
        <x:v>USB-C Hub</x:v>
      </x:c>
      <x:c r="I49" t="str">
        <x:f>INDEX(Products!$C$2:$C$13,MATCH(G49,Products!$A$2:$A$13,0))</x:f>
        <x:v>Accessories</x:v>
      </x:c>
      <x:c r="J49" t="str">
        <x:f>Raw_Orders!G49</x:f>
        <x:v>Online</x:v>
      </x:c>
      <x:c r="K49" t="n">
        <x:f>Raw_Orders!E49</x:f>
        <x:v>3</x:v>
      </x:c>
      <x:c r="L49" s="12" t="n">
        <x:f>Raw_Orders!F49</x:f>
        <x:v>0.05</x:v>
      </x:c>
      <x:c r="M49" s="14" t="n">
        <x:f>INDEX(Products!$D$2:$D$13,MATCH(G49,Products!$A$2:$A$13,0))</x:f>
        <x:v>65</x:v>
      </x:c>
      <x:c r="N49" s="14" t="n">
        <x:f>INDEX(Products!$E$2:$E$13,MATCH(G49,Products!$A$2:$A$13,0))</x:f>
        <x:v>31</x:v>
      </x:c>
      <x:c r="O49" s="14" t="n">
        <x:f>K49*M49</x:f>
        <x:v>195</x:v>
      </x:c>
      <x:c r="P49" s="14" t="n">
        <x:f>O49*(1-L49)</x:f>
        <x:v>185.25</x:v>
      </x:c>
      <x:c r="Q49" s="14" t="n">
        <x:f>K49*N49</x:f>
        <x:v>93</x:v>
      </x:c>
      <x:c r="R49" s="14" t="n">
        <x:f>P49-Q49</x:f>
        <x:v>92.25</x:v>
      </x:c>
      <x:c r="S49" s="16" t="n">
        <x:f>IFERROR(R49/P49,0)</x:f>
        <x:v>0.4979757085020243</x:v>
      </x:c>
    </x:row>
    <x:row r="50" ht="15" hidden="0" customHeight="1">
      <x:c r="A50" t="str">
        <x:f>Raw_Orders!A50</x:f>
        <x:v>O0049</x:v>
      </x:c>
      <x:c r="B50" s="10" t="n">
        <x:f>Raw_Orders!B50</x:f>
        <x:v>45696</x:v>
      </x:c>
      <x:c r="C50" t="str">
        <x:f>Raw_Orders!C50</x:f>
        <x:v>C057</x:v>
      </x:c>
      <x:c r="D50" t="str">
        <x:f>INDEX(Customers!$B$2:$B$81,MATCH(C50,Customers!$A$2:$A$81,0))</x:f>
        <x:v>Customer 57</x:v>
      </x:c>
      <x:c r="E50" t="str">
        <x:f>INDEX(Customers!$C$2:$C$81,MATCH(C50,Customers!$A$2:$A$81,0))</x:f>
        <x:v>Small Business</x:v>
      </x:c>
      <x:c r="F50" t="str">
        <x:f>INDEX(Customers!$D$2:$D$81,MATCH(C50,Customers!$A$2:$A$81,0))</x:f>
        <x:v>North</x:v>
      </x:c>
      <x:c r="G50" t="str">
        <x:f>Raw_Orders!D50</x:f>
        <x:v>P009</x:v>
      </x:c>
      <x:c r="H50" t="str">
        <x:f>INDEX(Products!$B$2:$B$13,MATCH(G50,Products!$A$2:$A$13,0))</x:f>
        <x:v>Desk Lamp</x:v>
      </x:c>
      <x:c r="I50" t="str">
        <x:f>INDEX(Products!$C$2:$C$13,MATCH(G50,Products!$A$2:$A$13,0))</x:f>
        <x:v>Office</x:v>
      </x:c>
      <x:c r="J50" t="str">
        <x:f>Raw_Orders!G50</x:f>
        <x:v>Partner</x:v>
      </x:c>
      <x:c r="K50" t="n">
        <x:f>Raw_Orders!E50</x:f>
        <x:v>1</x:v>
      </x:c>
      <x:c r="L50" s="12" t="n">
        <x:f>Raw_Orders!F50</x:f>
        <x:v>0</x:v>
      </x:c>
      <x:c r="M50" s="14" t="n">
        <x:f>INDEX(Products!$D$2:$D$13,MATCH(G50,Products!$A$2:$A$13,0))</x:f>
        <x:v>70</x:v>
      </x:c>
      <x:c r="N50" s="14" t="n">
        <x:f>INDEX(Products!$E$2:$E$13,MATCH(G50,Products!$A$2:$A$13,0))</x:f>
        <x:v>29</x:v>
      </x:c>
      <x:c r="O50" s="14" t="n">
        <x:f>K50*M50</x:f>
        <x:v>70</x:v>
      </x:c>
      <x:c r="P50" s="14" t="n">
        <x:f>O50*(1-L50)</x:f>
        <x:v>70</x:v>
      </x:c>
      <x:c r="Q50" s="14" t="n">
        <x:f>K50*N50</x:f>
        <x:v>29</x:v>
      </x:c>
      <x:c r="R50" s="14" t="n">
        <x:f>P50-Q50</x:f>
        <x:v>41</x:v>
      </x:c>
      <x:c r="S50" s="16" t="n">
        <x:f>IFERROR(R50/P50,0)</x:f>
        <x:v>0.5857142857142857</x:v>
      </x:c>
    </x:row>
    <x:row r="51" ht="15" hidden="0" customHeight="1">
      <x:c r="A51" t="str">
        <x:f>Raw_Orders!A51</x:f>
        <x:v>O0050</x:v>
      </x:c>
      <x:c r="B51" s="10" t="n">
        <x:f>Raw_Orders!B51</x:f>
        <x:v>45934</x:v>
      </x:c>
      <x:c r="C51" t="str">
        <x:f>Raw_Orders!C51</x:f>
        <x:v>C002</x:v>
      </x:c>
      <x:c r="D51" t="str">
        <x:f>INDEX(Customers!$B$2:$B$81,MATCH(C51,Customers!$A$2:$A$81,0))</x:f>
        <x:v>Customer 02</x:v>
      </x:c>
      <x:c r="E51" t="str">
        <x:f>INDEX(Customers!$C$2:$C$81,MATCH(C51,Customers!$A$2:$A$81,0))</x:f>
        <x:v>Corporate</x:v>
      </x:c>
      <x:c r="F51" t="str">
        <x:f>INDEX(Customers!$D$2:$D$81,MATCH(C51,Customers!$A$2:$A$81,0))</x:f>
        <x:v>South</x:v>
      </x:c>
      <x:c r="G51" t="str">
        <x:f>Raw_Orders!D51</x:f>
        <x:v>P002</x:v>
      </x:c>
      <x:c r="H51" t="str">
        <x:f>INDEX(Products!$B$2:$B$13,MATCH(G51,Products!$A$2:$A$13,0))</x:f>
        <x:v>Mechanical Keyboard</x:v>
      </x:c>
      <x:c r="I51" t="str">
        <x:f>INDEX(Products!$C$2:$C$13,MATCH(G51,Products!$A$2:$A$13,0))</x:f>
        <x:v>Accessories</x:v>
      </x:c>
      <x:c r="J51" t="str">
        <x:f>Raw_Orders!G51</x:f>
        <x:v>Retail</x:v>
      </x:c>
      <x:c r="K51" t="n">
        <x:f>Raw_Orders!E51</x:f>
        <x:v>2</x:v>
      </x:c>
      <x:c r="L51" s="12" t="n">
        <x:f>Raw_Orders!F51</x:f>
        <x:v>0</x:v>
      </x:c>
      <x:c r="M51" s="14" t="n">
        <x:f>INDEX(Products!$D$2:$D$13,MATCH(G51,Products!$A$2:$A$13,0))</x:f>
        <x:v>110</x:v>
      </x:c>
      <x:c r="N51" s="14" t="n">
        <x:f>INDEX(Products!$E$2:$E$13,MATCH(G51,Products!$A$2:$A$13,0))</x:f>
        <x:v>58</x:v>
      </x:c>
      <x:c r="O51" s="14" t="n">
        <x:f>K51*M51</x:f>
        <x:v>220</x:v>
      </x:c>
      <x:c r="P51" s="14" t="n">
        <x:f>O51*(1-L51)</x:f>
        <x:v>220</x:v>
      </x:c>
      <x:c r="Q51" s="14" t="n">
        <x:f>K51*N51</x:f>
        <x:v>116</x:v>
      </x:c>
      <x:c r="R51" s="14" t="n">
        <x:f>P51-Q51</x:f>
        <x:v>104</x:v>
      </x:c>
      <x:c r="S51" s="16" t="n">
        <x:f>IFERROR(R51/P51,0)</x:f>
        <x:v>0.4727272727272727</x:v>
      </x:c>
    </x:row>
    <x:row r="52" ht="15" hidden="0" customHeight="1">
      <x:c r="A52" t="str">
        <x:f>Raw_Orders!A52</x:f>
        <x:v>O0051</x:v>
      </x:c>
      <x:c r="B52" s="10" t="n">
        <x:f>Raw_Orders!B52</x:f>
        <x:v>45906</x:v>
      </x:c>
      <x:c r="C52" t="str">
        <x:f>Raw_Orders!C52</x:f>
        <x:v>C062</x:v>
      </x:c>
      <x:c r="D52" t="str">
        <x:f>INDEX(Customers!$B$2:$B$81,MATCH(C52,Customers!$A$2:$A$81,0))</x:f>
        <x:v>Customer 62</x:v>
      </x:c>
      <x:c r="E52" t="str">
        <x:f>INDEX(Customers!$C$2:$C$81,MATCH(C52,Customers!$A$2:$A$81,0))</x:f>
        <x:v>Corporate</x:v>
      </x:c>
      <x:c r="F52" t="str">
        <x:f>INDEX(Customers!$D$2:$D$81,MATCH(C52,Customers!$A$2:$A$81,0))</x:f>
        <x:v>South</x:v>
      </x:c>
      <x:c r="G52" t="str">
        <x:f>Raw_Orders!D52</x:f>
        <x:v>P004</x:v>
      </x:c>
      <x:c r="H52" t="str">
        <x:f>INDEX(Products!$B$2:$B$13,MATCH(G52,Products!$A$2:$A$13,0))</x:f>
        <x:v>24in Monitor</x:v>
      </x:c>
      <x:c r="I52" t="str">
        <x:f>INDEX(Products!$C$2:$C$13,MATCH(G52,Products!$A$2:$A$13,0))</x:f>
        <x:v>Displays</x:v>
      </x:c>
      <x:c r="J52" t="str">
        <x:f>Raw_Orders!G52</x:f>
        <x:v>Online</x:v>
      </x:c>
      <x:c r="K52" t="n">
        <x:f>Raw_Orders!E52</x:f>
        <x:v>4</x:v>
      </x:c>
      <x:c r="L52" s="12" t="n">
        <x:f>Raw_Orders!F52</x:f>
        <x:v>0</x:v>
      </x:c>
      <x:c r="M52" s="14" t="n">
        <x:f>INDEX(Products!$D$2:$D$13,MATCH(G52,Products!$A$2:$A$13,0))</x:f>
        <x:v>220</x:v>
      </x:c>
      <x:c r="N52" s="14" t="n">
        <x:f>INDEX(Products!$E$2:$E$13,MATCH(G52,Products!$A$2:$A$13,0))</x:f>
        <x:v>142</x:v>
      </x:c>
      <x:c r="O52" s="14" t="n">
        <x:f>K52*M52</x:f>
        <x:v>880</x:v>
      </x:c>
      <x:c r="P52" s="14" t="n">
        <x:f>O52*(1-L52)</x:f>
        <x:v>880</x:v>
      </x:c>
      <x:c r="Q52" s="14" t="n">
        <x:f>K52*N52</x:f>
        <x:v>568</x:v>
      </x:c>
      <x:c r="R52" s="14" t="n">
        <x:f>P52-Q52</x:f>
        <x:v>312</x:v>
      </x:c>
      <x:c r="S52" s="16" t="n">
        <x:f>IFERROR(R52/P52,0)</x:f>
        <x:v>0.35454545454545455</x:v>
      </x:c>
    </x:row>
    <x:row r="53" ht="15" hidden="0" customHeight="1">
      <x:c r="A53" t="str">
        <x:f>Raw_Orders!A53</x:f>
        <x:v>O0052</x:v>
      </x:c>
      <x:c r="B53" s="10" t="n">
        <x:f>Raw_Orders!B53</x:f>
        <x:v>45852</x:v>
      </x:c>
      <x:c r="C53" t="str">
        <x:f>Raw_Orders!C53</x:f>
        <x:v>C001</x:v>
      </x:c>
      <x:c r="D53" t="str">
        <x:f>INDEX(Customers!$B$2:$B$81,MATCH(C53,Customers!$A$2:$A$81,0))</x:f>
        <x:v>Customer 01</x:v>
      </x:c>
      <x:c r="E53" t="str">
        <x:f>INDEX(Customers!$C$2:$C$81,MATCH(C53,Customers!$A$2:$A$81,0))</x:f>
        <x:v>Consumer</x:v>
      </x:c>
      <x:c r="F53" t="str">
        <x:f>INDEX(Customers!$D$2:$D$81,MATCH(C53,Customers!$A$2:$A$81,0))</x:f>
        <x:v>North</x:v>
      </x:c>
      <x:c r="G53" t="str">
        <x:f>Raw_Orders!D53</x:f>
        <x:v>P007</x:v>
      </x:c>
      <x:c r="H53" t="str">
        <x:f>INDEX(Products!$B$2:$B$13,MATCH(G53,Products!$A$2:$A$13,0))</x:f>
        <x:v>Ergonomic Chair</x:v>
      </x:c>
      <x:c r="I53" t="str">
        <x:f>INDEX(Products!$C$2:$C$13,MATCH(G53,Products!$A$2:$A$13,0))</x:f>
        <x:v>Office</x:v>
      </x:c>
      <x:c r="J53" t="str">
        <x:f>Raw_Orders!G53</x:f>
        <x:v>Retail</x:v>
      </x:c>
      <x:c r="K53" t="n">
        <x:f>Raw_Orders!E53</x:f>
        <x:v>3</x:v>
      </x:c>
      <x:c r="L53" s="12" t="n">
        <x:f>Raw_Orders!F53</x:f>
        <x:v>0.05</x:v>
      </x:c>
      <x:c r="M53" s="14" t="n">
        <x:f>INDEX(Products!$D$2:$D$13,MATCH(G53,Products!$A$2:$A$13,0))</x:f>
        <x:v>390</x:v>
      </x:c>
      <x:c r="N53" s="14" t="n">
        <x:f>INDEX(Products!$E$2:$E$13,MATCH(G53,Products!$A$2:$A$13,0))</x:f>
        <x:v>245</x:v>
      </x:c>
      <x:c r="O53" s="14" t="n">
        <x:f>K53*M53</x:f>
        <x:v>1170</x:v>
      </x:c>
      <x:c r="P53" s="14" t="n">
        <x:f>O53*(1-L53)</x:f>
        <x:v>1111.5</x:v>
      </x:c>
      <x:c r="Q53" s="14" t="n">
        <x:f>K53*N53</x:f>
        <x:v>735</x:v>
      </x:c>
      <x:c r="R53" s="14" t="n">
        <x:f>P53-Q53</x:f>
        <x:v>376.5</x:v>
      </x:c>
      <x:c r="S53" s="16" t="n">
        <x:f>IFERROR(R53/P53,0)</x:f>
        <x:v>0.33873144399460187</x:v>
      </x:c>
    </x:row>
    <x:row r="54" ht="15" hidden="0" customHeight="1">
      <x:c r="A54" t="str">
        <x:f>Raw_Orders!A54</x:f>
        <x:v>O0053</x:v>
      </x:c>
      <x:c r="B54" s="10" t="n">
        <x:f>Raw_Orders!B54</x:f>
        <x:v>45874</x:v>
      </x:c>
      <x:c r="C54" t="str">
        <x:f>Raw_Orders!C54</x:f>
        <x:v>C072</x:v>
      </x:c>
      <x:c r="D54" t="str">
        <x:f>INDEX(Customers!$B$2:$B$81,MATCH(C54,Customers!$A$2:$A$81,0))</x:f>
        <x:v>Customer 72</x:v>
      </x:c>
      <x:c r="E54" t="str">
        <x:f>INDEX(Customers!$C$2:$C$81,MATCH(C54,Customers!$A$2:$A$81,0))</x:f>
        <x:v>Small Business</x:v>
      </x:c>
      <x:c r="F54" t="str">
        <x:f>INDEX(Customers!$D$2:$D$81,MATCH(C54,Customers!$A$2:$A$81,0))</x:f>
        <x:v>West</x:v>
      </x:c>
      <x:c r="G54" t="str">
        <x:f>Raw_Orders!D54</x:f>
        <x:v>P011</x:v>
      </x:c>
      <x:c r="H54" t="str">
        <x:f>INDEX(Products!$B$2:$B$13,MATCH(G54,Products!$A$2:$A$13,0))</x:f>
        <x:v>External HDD</x:v>
      </x:c>
      <x:c r="I54" t="str">
        <x:f>INDEX(Products!$C$2:$C$13,MATCH(G54,Products!$A$2:$A$13,0))</x:f>
        <x:v>Storage</x:v>
      </x:c>
      <x:c r="J54" t="str">
        <x:f>Raw_Orders!G54</x:f>
        <x:v>Online</x:v>
      </x:c>
      <x:c r="K54" t="n">
        <x:f>Raw_Orders!E54</x:f>
        <x:v>6</x:v>
      </x:c>
      <x:c r="L54" s="12" t="n">
        <x:f>Raw_Orders!F54</x:f>
        <x:v>0.05</x:v>
      </x:c>
      <x:c r="M54" s="14" t="n">
        <x:f>INDEX(Products!$D$2:$D$13,MATCH(G54,Products!$A$2:$A$13,0))</x:f>
        <x:v>120</x:v>
      </x:c>
      <x:c r="N54" s="14" t="n">
        <x:f>INDEX(Products!$E$2:$E$13,MATCH(G54,Products!$A$2:$A$13,0))</x:f>
        <x:v>72</x:v>
      </x:c>
      <x:c r="O54" s="14" t="n">
        <x:f>K54*M54</x:f>
        <x:v>720</x:v>
      </x:c>
      <x:c r="P54" s="14" t="n">
        <x:f>O54*(1-L54)</x:f>
        <x:v>684</x:v>
      </x:c>
      <x:c r="Q54" s="14" t="n">
        <x:f>K54*N54</x:f>
        <x:v>432</x:v>
      </x:c>
      <x:c r="R54" s="14" t="n">
        <x:f>P54-Q54</x:f>
        <x:v>252</x:v>
      </x:c>
      <x:c r="S54" s="16" t="n">
        <x:f>IFERROR(R54/P54,0)</x:f>
        <x:v>0.3684210526315789</x:v>
      </x:c>
    </x:row>
    <x:row r="55" ht="15" hidden="0" customHeight="1">
      <x:c r="A55" t="str">
        <x:f>Raw_Orders!A55</x:f>
        <x:v>O0054</x:v>
      </x:c>
      <x:c r="B55" s="10" t="n">
        <x:f>Raw_Orders!B55</x:f>
        <x:v>45755</x:v>
      </x:c>
      <x:c r="C55" t="str">
        <x:f>Raw_Orders!C55</x:f>
        <x:v>C038</x:v>
      </x:c>
      <x:c r="D55" t="str">
        <x:f>INDEX(Customers!$B$2:$B$81,MATCH(C55,Customers!$A$2:$A$81,0))</x:f>
        <x:v>Customer 38</x:v>
      </x:c>
      <x:c r="E55" t="str">
        <x:f>INDEX(Customers!$C$2:$C$81,MATCH(C55,Customers!$A$2:$A$81,0))</x:f>
        <x:v>Corporate</x:v>
      </x:c>
      <x:c r="F55" t="str">
        <x:f>INDEX(Customers!$D$2:$D$81,MATCH(C55,Customers!$A$2:$A$81,0))</x:f>
        <x:v>South</x:v>
      </x:c>
      <x:c r="G55" t="str">
        <x:f>Raw_Orders!D55</x:f>
        <x:v>P004</x:v>
      </x:c>
      <x:c r="H55" t="str">
        <x:f>INDEX(Products!$B$2:$B$13,MATCH(G55,Products!$A$2:$A$13,0))</x:f>
        <x:v>24in Monitor</x:v>
      </x:c>
      <x:c r="I55" t="str">
        <x:f>INDEX(Products!$C$2:$C$13,MATCH(G55,Products!$A$2:$A$13,0))</x:f>
        <x:v>Displays</x:v>
      </x:c>
      <x:c r="J55" t="str">
        <x:f>Raw_Orders!G55</x:f>
        <x:v>Partner</x:v>
      </x:c>
      <x:c r="K55" t="n">
        <x:f>Raw_Orders!E55</x:f>
        <x:v>1</x:v>
      </x:c>
      <x:c r="L55" s="12" t="n">
        <x:f>Raw_Orders!F55</x:f>
        <x:v>0.1</x:v>
      </x:c>
      <x:c r="M55" s="14" t="n">
        <x:f>INDEX(Products!$D$2:$D$13,MATCH(G55,Products!$A$2:$A$13,0))</x:f>
        <x:v>220</x:v>
      </x:c>
      <x:c r="N55" s="14" t="n">
        <x:f>INDEX(Products!$E$2:$E$13,MATCH(G55,Products!$A$2:$A$13,0))</x:f>
        <x:v>142</x:v>
      </x:c>
      <x:c r="O55" s="14" t="n">
        <x:f>K55*M55</x:f>
        <x:v>220</x:v>
      </x:c>
      <x:c r="P55" s="14" t="n">
        <x:f>O55*(1-L55)</x:f>
        <x:v>198</x:v>
      </x:c>
      <x:c r="Q55" s="14" t="n">
        <x:f>K55*N55</x:f>
        <x:v>142</x:v>
      </x:c>
      <x:c r="R55" s="14" t="n">
        <x:f>P55-Q55</x:f>
        <x:v>56</x:v>
      </x:c>
      <x:c r="S55" s="16" t="n">
        <x:f>IFERROR(R55/P55,0)</x:f>
        <x:v>0.2828282828282828</x:v>
      </x:c>
    </x:row>
    <x:row r="56" ht="15" hidden="0" customHeight="1">
      <x:c r="A56" t="str">
        <x:f>Raw_Orders!A56</x:f>
        <x:v>O0055</x:v>
      </x:c>
      <x:c r="B56" s="10" t="n">
        <x:f>Raw_Orders!B56</x:f>
        <x:v>45935</x:v>
      </x:c>
      <x:c r="C56" t="str">
        <x:f>Raw_Orders!C56</x:f>
        <x:v>C008</x:v>
      </x:c>
      <x:c r="D56" t="str">
        <x:f>INDEX(Customers!$B$2:$B$81,MATCH(C56,Customers!$A$2:$A$81,0))</x:f>
        <x:v>Customer 08</x:v>
      </x:c>
      <x:c r="E56" t="str">
        <x:f>INDEX(Customers!$C$2:$C$81,MATCH(C56,Customers!$A$2:$A$81,0))</x:f>
        <x:v>Corporate</x:v>
      </x:c>
      <x:c r="F56" t="str">
        <x:f>INDEX(Customers!$D$2:$D$81,MATCH(C56,Customers!$A$2:$A$81,0))</x:f>
        <x:v>West</x:v>
      </x:c>
      <x:c r="G56" t="str">
        <x:f>Raw_Orders!D56</x:f>
        <x:v>P012</x:v>
      </x:c>
      <x:c r="H56" t="str">
        <x:f>INDEX(Products!$B$2:$B$13,MATCH(G56,Products!$A$2:$A$13,0))</x:f>
        <x:v>Docking Station</x:v>
      </x:c>
      <x:c r="I56" t="str">
        <x:f>INDEX(Products!$C$2:$C$13,MATCH(G56,Products!$A$2:$A$13,0))</x:f>
        <x:v>Accessories</x:v>
      </x:c>
      <x:c r="J56" t="str">
        <x:f>Raw_Orders!G56</x:f>
        <x:v>Online</x:v>
      </x:c>
      <x:c r="K56" t="n">
        <x:f>Raw_Orders!E56</x:f>
        <x:v>3</x:v>
      </x:c>
      <x:c r="L56" s="12" t="n">
        <x:f>Raw_Orders!F56</x:f>
        <x:v>0</x:v>
      </x:c>
      <x:c r="M56" s="14" t="n">
        <x:f>INDEX(Products!$D$2:$D$13,MATCH(G56,Products!$A$2:$A$13,0))</x:f>
        <x:v>180</x:v>
      </x:c>
      <x:c r="N56" s="14" t="n">
        <x:f>INDEX(Products!$E$2:$E$13,MATCH(G56,Products!$A$2:$A$13,0))</x:f>
        <x:v>104</x:v>
      </x:c>
      <x:c r="O56" s="14" t="n">
        <x:f>K56*M56</x:f>
        <x:v>540</x:v>
      </x:c>
      <x:c r="P56" s="14" t="n">
        <x:f>O56*(1-L56)</x:f>
        <x:v>540</x:v>
      </x:c>
      <x:c r="Q56" s="14" t="n">
        <x:f>K56*N56</x:f>
        <x:v>312</x:v>
      </x:c>
      <x:c r="R56" s="14" t="n">
        <x:f>P56-Q56</x:f>
        <x:v>228</x:v>
      </x:c>
      <x:c r="S56" s="16" t="n">
        <x:f>IFERROR(R56/P56,0)</x:f>
        <x:v>0.4222222222222222</x:v>
      </x:c>
    </x:row>
    <x:row r="57" ht="15" hidden="0" customHeight="1">
      <x:c r="A57" t="str">
        <x:f>Raw_Orders!A57</x:f>
        <x:v>O0056</x:v>
      </x:c>
      <x:c r="B57" s="10" t="n">
        <x:f>Raw_Orders!B57</x:f>
        <x:v>45957</x:v>
      </x:c>
      <x:c r="C57" t="str">
        <x:f>Raw_Orders!C57</x:f>
        <x:v>C062</x:v>
      </x:c>
      <x:c r="D57" t="str">
        <x:f>INDEX(Customers!$B$2:$B$81,MATCH(C57,Customers!$A$2:$A$81,0))</x:f>
        <x:v>Customer 62</x:v>
      </x:c>
      <x:c r="E57" t="str">
        <x:f>INDEX(Customers!$C$2:$C$81,MATCH(C57,Customers!$A$2:$A$81,0))</x:f>
        <x:v>Corporate</x:v>
      </x:c>
      <x:c r="F57" t="str">
        <x:f>INDEX(Customers!$D$2:$D$81,MATCH(C57,Customers!$A$2:$A$81,0))</x:f>
        <x:v>South</x:v>
      </x:c>
      <x:c r="G57" t="str">
        <x:f>Raw_Orders!D57</x:f>
        <x:v>P009</x:v>
      </x:c>
      <x:c r="H57" t="str">
        <x:f>INDEX(Products!$B$2:$B$13,MATCH(G57,Products!$A$2:$A$13,0))</x:f>
        <x:v>Desk Lamp</x:v>
      </x:c>
      <x:c r="I57" t="str">
        <x:f>INDEX(Products!$C$2:$C$13,MATCH(G57,Products!$A$2:$A$13,0))</x:f>
        <x:v>Office</x:v>
      </x:c>
      <x:c r="J57" t="str">
        <x:f>Raw_Orders!G57</x:f>
        <x:v>Online</x:v>
      </x:c>
      <x:c r="K57" t="n">
        <x:f>Raw_Orders!E57</x:f>
        <x:v>5</x:v>
      </x:c>
      <x:c r="L57" s="12" t="n">
        <x:f>Raw_Orders!F57</x:f>
        <x:v>0</x:v>
      </x:c>
      <x:c r="M57" s="14" t="n">
        <x:f>INDEX(Products!$D$2:$D$13,MATCH(G57,Products!$A$2:$A$13,0))</x:f>
        <x:v>70</x:v>
      </x:c>
      <x:c r="N57" s="14" t="n">
        <x:f>INDEX(Products!$E$2:$E$13,MATCH(G57,Products!$A$2:$A$13,0))</x:f>
        <x:v>29</x:v>
      </x:c>
      <x:c r="O57" s="14" t="n">
        <x:f>K57*M57</x:f>
        <x:v>350</x:v>
      </x:c>
      <x:c r="P57" s="14" t="n">
        <x:f>O57*(1-L57)</x:f>
        <x:v>350</x:v>
      </x:c>
      <x:c r="Q57" s="14" t="n">
        <x:f>K57*N57</x:f>
        <x:v>145</x:v>
      </x:c>
      <x:c r="R57" s="14" t="n">
        <x:f>P57-Q57</x:f>
        <x:v>205</x:v>
      </x:c>
      <x:c r="S57" s="16" t="n">
        <x:f>IFERROR(R57/P57,0)</x:f>
        <x:v>0.5857142857142857</x:v>
      </x:c>
    </x:row>
    <x:row r="58" ht="15" hidden="0" customHeight="1">
      <x:c r="A58" t="str">
        <x:f>Raw_Orders!A58</x:f>
        <x:v>O0057</x:v>
      </x:c>
      <x:c r="B58" s="10" t="n">
        <x:f>Raw_Orders!B58</x:f>
        <x:v>45918</x:v>
      </x:c>
      <x:c r="C58" t="str">
        <x:f>Raw_Orders!C58</x:f>
        <x:v>C011</x:v>
      </x:c>
      <x:c r="D58" t="str">
        <x:f>INDEX(Customers!$B$2:$B$81,MATCH(C58,Customers!$A$2:$A$81,0))</x:f>
        <x:v>Customer 11</x:v>
      </x:c>
      <x:c r="E58" t="str">
        <x:f>INDEX(Customers!$C$2:$C$81,MATCH(C58,Customers!$A$2:$A$81,0))</x:f>
        <x:v>Corporate</x:v>
      </x:c>
      <x:c r="F58" t="str">
        <x:f>INDEX(Customers!$D$2:$D$81,MATCH(C58,Customers!$A$2:$A$81,0))</x:f>
        <x:v>East</x:v>
      </x:c>
      <x:c r="G58" t="str">
        <x:f>Raw_Orders!D58</x:f>
        <x:v>P003</x:v>
      </x:c>
      <x:c r="H58" t="str">
        <x:f>INDEX(Products!$B$2:$B$13,MATCH(G58,Products!$A$2:$A$13,0))</x:f>
        <x:v>USB-C Hub</x:v>
      </x:c>
      <x:c r="I58" t="str">
        <x:f>INDEX(Products!$C$2:$C$13,MATCH(G58,Products!$A$2:$A$13,0))</x:f>
        <x:v>Accessories</x:v>
      </x:c>
      <x:c r="J58" t="str">
        <x:f>Raw_Orders!G58</x:f>
        <x:v>Online</x:v>
      </x:c>
      <x:c r="K58" t="n">
        <x:f>Raw_Orders!E58</x:f>
        <x:v>1</x:v>
      </x:c>
      <x:c r="L58" s="12" t="n">
        <x:f>Raw_Orders!F58</x:f>
        <x:v>0.1</x:v>
      </x:c>
      <x:c r="M58" s="14" t="n">
        <x:f>INDEX(Products!$D$2:$D$13,MATCH(G58,Products!$A$2:$A$13,0))</x:f>
        <x:v>65</x:v>
      </x:c>
      <x:c r="N58" s="14" t="n">
        <x:f>INDEX(Products!$E$2:$E$13,MATCH(G58,Products!$A$2:$A$13,0))</x:f>
        <x:v>31</x:v>
      </x:c>
      <x:c r="O58" s="14" t="n">
        <x:f>K58*M58</x:f>
        <x:v>65</x:v>
      </x:c>
      <x:c r="P58" s="14" t="n">
        <x:f>O58*(1-L58)</x:f>
        <x:v>58.5</x:v>
      </x:c>
      <x:c r="Q58" s="14" t="n">
        <x:f>K58*N58</x:f>
        <x:v>31</x:v>
      </x:c>
      <x:c r="R58" s="14" t="n">
        <x:f>P58-Q58</x:f>
        <x:v>27.5</x:v>
      </x:c>
      <x:c r="S58" s="16" t="n">
        <x:f>IFERROR(R58/P58,0)</x:f>
        <x:v>0.4700854700854701</x:v>
      </x:c>
    </x:row>
    <x:row r="59" ht="15" hidden="0" customHeight="1">
      <x:c r="A59" t="str">
        <x:f>Raw_Orders!A59</x:f>
        <x:v>O0058</x:v>
      </x:c>
      <x:c r="B59" s="10" t="n">
        <x:f>Raw_Orders!B59</x:f>
        <x:v>46003</x:v>
      </x:c>
      <x:c r="C59" t="str">
        <x:f>Raw_Orders!C59</x:f>
        <x:v>C031</x:v>
      </x:c>
      <x:c r="D59" t="str">
        <x:f>INDEX(Customers!$B$2:$B$81,MATCH(C59,Customers!$A$2:$A$81,0))</x:f>
        <x:v>Customer 31</x:v>
      </x:c>
      <x:c r="E59" t="str">
        <x:f>INDEX(Customers!$C$2:$C$81,MATCH(C59,Customers!$A$2:$A$81,0))</x:f>
        <x:v>Consumer</x:v>
      </x:c>
      <x:c r="F59" t="str">
        <x:f>INDEX(Customers!$D$2:$D$81,MATCH(C59,Customers!$A$2:$A$81,0))</x:f>
        <x:v>East</x:v>
      </x:c>
      <x:c r="G59" t="str">
        <x:f>Raw_Orders!D59</x:f>
        <x:v>P007</x:v>
      </x:c>
      <x:c r="H59" t="str">
        <x:f>INDEX(Products!$B$2:$B$13,MATCH(G59,Products!$A$2:$A$13,0))</x:f>
        <x:v>Ergonomic Chair</x:v>
      </x:c>
      <x:c r="I59" t="str">
        <x:f>INDEX(Products!$C$2:$C$13,MATCH(G59,Products!$A$2:$A$13,0))</x:f>
        <x:v>Office</x:v>
      </x:c>
      <x:c r="J59" t="str">
        <x:f>Raw_Orders!G59</x:f>
        <x:v>Online</x:v>
      </x:c>
      <x:c r="K59" t="n">
        <x:f>Raw_Orders!E59</x:f>
        <x:v>1</x:v>
      </x:c>
      <x:c r="L59" s="12" t="n">
        <x:f>Raw_Orders!F59</x:f>
        <x:v>0.1</x:v>
      </x:c>
      <x:c r="M59" s="14" t="n">
        <x:f>INDEX(Products!$D$2:$D$13,MATCH(G59,Products!$A$2:$A$13,0))</x:f>
        <x:v>390</x:v>
      </x:c>
      <x:c r="N59" s="14" t="n">
        <x:f>INDEX(Products!$E$2:$E$13,MATCH(G59,Products!$A$2:$A$13,0))</x:f>
        <x:v>245</x:v>
      </x:c>
      <x:c r="O59" s="14" t="n">
        <x:f>K59*M59</x:f>
        <x:v>390</x:v>
      </x:c>
      <x:c r="P59" s="14" t="n">
        <x:f>O59*(1-L59)</x:f>
        <x:v>351</x:v>
      </x:c>
      <x:c r="Q59" s="14" t="n">
        <x:f>K59*N59</x:f>
        <x:v>245</x:v>
      </x:c>
      <x:c r="R59" s="14" t="n">
        <x:f>P59-Q59</x:f>
        <x:v>106</x:v>
      </x:c>
      <x:c r="S59" s="16" t="n">
        <x:f>IFERROR(R59/P59,0)</x:f>
        <x:v>0.301994301994302</x:v>
      </x:c>
    </x:row>
    <x:row r="60" ht="15" hidden="0" customHeight="1">
      <x:c r="A60" t="str">
        <x:f>Raw_Orders!A60</x:f>
        <x:v>O0059</x:v>
      </x:c>
      <x:c r="B60" s="10" t="n">
        <x:f>Raw_Orders!B60</x:f>
        <x:v>45954</x:v>
      </x:c>
      <x:c r="C60" t="str">
        <x:f>Raw_Orders!C60</x:f>
        <x:v>C077</x:v>
      </x:c>
      <x:c r="D60" t="str">
        <x:f>INDEX(Customers!$B$2:$B$81,MATCH(C60,Customers!$A$2:$A$81,0))</x:f>
        <x:v>Customer 77</x:v>
      </x:c>
      <x:c r="E60" t="str">
        <x:f>INDEX(Customers!$C$2:$C$81,MATCH(C60,Customers!$A$2:$A$81,0))</x:f>
        <x:v>Corporate</x:v>
      </x:c>
      <x:c r="F60" t="str">
        <x:f>INDEX(Customers!$D$2:$D$81,MATCH(C60,Customers!$A$2:$A$81,0))</x:f>
        <x:v>North</x:v>
      </x:c>
      <x:c r="G60" t="str">
        <x:f>Raw_Orders!D60</x:f>
        <x:v>P001</x:v>
      </x:c>
      <x:c r="H60" t="str">
        <x:f>INDEX(Products!$B$2:$B$13,MATCH(G60,Products!$A$2:$A$13,0))</x:f>
        <x:v>Wireless Headset</x:v>
      </x:c>
      <x:c r="I60" t="str">
        <x:f>INDEX(Products!$C$2:$C$13,MATCH(G60,Products!$A$2:$A$13,0))</x:f>
        <x:v>Accessories</x:v>
      </x:c>
      <x:c r="J60" t="str">
        <x:f>Raw_Orders!G60</x:f>
        <x:v>Retail</x:v>
      </x:c>
      <x:c r="K60" t="n">
        <x:f>Raw_Orders!E60</x:f>
        <x:v>5</x:v>
      </x:c>
      <x:c r="L60" s="12" t="n">
        <x:f>Raw_Orders!F60</x:f>
        <x:v>0</x:v>
      </x:c>
      <x:c r="M60" s="14" t="n">
        <x:f>INDEX(Products!$D$2:$D$13,MATCH(G60,Products!$A$2:$A$13,0))</x:f>
        <x:v>85</x:v>
      </x:c>
      <x:c r="N60" s="14" t="n">
        <x:f>INDEX(Products!$E$2:$E$13,MATCH(G60,Products!$A$2:$A$13,0))</x:f>
        <x:v>42</x:v>
      </x:c>
      <x:c r="O60" s="14" t="n">
        <x:f>K60*M60</x:f>
        <x:v>425</x:v>
      </x:c>
      <x:c r="P60" s="14" t="n">
        <x:f>O60*(1-L60)</x:f>
        <x:v>425</x:v>
      </x:c>
      <x:c r="Q60" s="14" t="n">
        <x:f>K60*N60</x:f>
        <x:v>210</x:v>
      </x:c>
      <x:c r="R60" s="14" t="n">
        <x:f>P60-Q60</x:f>
        <x:v>215</x:v>
      </x:c>
      <x:c r="S60" s="16" t="n">
        <x:f>IFERROR(R60/P60,0)</x:f>
        <x:v>0.5058823529411764</x:v>
      </x:c>
    </x:row>
    <x:row r="61" ht="15" hidden="0" customHeight="1">
      <x:c r="A61" t="str">
        <x:f>Raw_Orders!A61</x:f>
        <x:v>O0060</x:v>
      </x:c>
      <x:c r="B61" s="10" t="n">
        <x:f>Raw_Orders!B61</x:f>
        <x:v>45994</x:v>
      </x:c>
      <x:c r="C61" t="str">
        <x:f>Raw_Orders!C61</x:f>
        <x:v>C075</x:v>
      </x:c>
      <x:c r="D61" t="str">
        <x:f>INDEX(Customers!$B$2:$B$81,MATCH(C61,Customers!$A$2:$A$81,0))</x:f>
        <x:v>Customer 75</x:v>
      </x:c>
      <x:c r="E61" t="str">
        <x:f>INDEX(Customers!$C$2:$C$81,MATCH(C61,Customers!$A$2:$A$81,0))</x:f>
        <x:v>Small Business</x:v>
      </x:c>
      <x:c r="F61" t="str">
        <x:f>INDEX(Customers!$D$2:$D$81,MATCH(C61,Customers!$A$2:$A$81,0))</x:f>
        <x:v>East</x:v>
      </x:c>
      <x:c r="G61" t="str">
        <x:f>Raw_Orders!D61</x:f>
        <x:v>P010</x:v>
      </x:c>
      <x:c r="H61" t="str">
        <x:f>INDEX(Products!$B$2:$B$13,MATCH(G61,Products!$A$2:$A$13,0))</x:f>
        <x:v>Portable SSD</x:v>
      </x:c>
      <x:c r="I61" t="str">
        <x:f>INDEX(Products!$C$2:$C$13,MATCH(G61,Products!$A$2:$A$13,0))</x:f>
        <x:v>Storage</x:v>
      </x:c>
      <x:c r="J61" t="str">
        <x:f>Raw_Orders!G61</x:f>
        <x:v>Retail</x:v>
      </x:c>
      <x:c r="K61" t="n">
        <x:f>Raw_Orders!E61</x:f>
        <x:v>5</x:v>
      </x:c>
      <x:c r="L61" s="12" t="n">
        <x:f>Raw_Orders!F61</x:f>
        <x:v>0</x:v>
      </x:c>
      <x:c r="M61" s="14" t="n">
        <x:f>INDEX(Products!$D$2:$D$13,MATCH(G61,Products!$A$2:$A$13,0))</x:f>
        <x:v>145</x:v>
      </x:c>
      <x:c r="N61" s="14" t="n">
        <x:f>INDEX(Products!$E$2:$E$13,MATCH(G61,Products!$A$2:$A$13,0))</x:f>
        <x:v>86</x:v>
      </x:c>
      <x:c r="O61" s="14" t="n">
        <x:f>K61*M61</x:f>
        <x:v>725</x:v>
      </x:c>
      <x:c r="P61" s="14" t="n">
        <x:f>O61*(1-L61)</x:f>
        <x:v>725</x:v>
      </x:c>
      <x:c r="Q61" s="14" t="n">
        <x:f>K61*N61</x:f>
        <x:v>430</x:v>
      </x:c>
      <x:c r="R61" s="14" t="n">
        <x:f>P61-Q61</x:f>
        <x:v>295</x:v>
      </x:c>
      <x:c r="S61" s="16" t="n">
        <x:f>IFERROR(R61/P61,0)</x:f>
        <x:v>0.4068965517241379</x:v>
      </x:c>
    </x:row>
    <x:row r="62" ht="15" hidden="0" customHeight="1">
      <x:c r="A62" t="str">
        <x:f>Raw_Orders!A62</x:f>
        <x:v>O0061</x:v>
      </x:c>
      <x:c r="B62" s="10" t="n">
        <x:f>Raw_Orders!B62</x:f>
        <x:v>45762</x:v>
      </x:c>
      <x:c r="C62" t="str">
        <x:f>Raw_Orders!C62</x:f>
        <x:v>C041</x:v>
      </x:c>
      <x:c r="D62" t="str">
        <x:f>INDEX(Customers!$B$2:$B$81,MATCH(C62,Customers!$A$2:$A$81,0))</x:f>
        <x:v>Customer 41</x:v>
      </x:c>
      <x:c r="E62" t="str">
        <x:f>INDEX(Customers!$C$2:$C$81,MATCH(C62,Customers!$A$2:$A$81,0))</x:f>
        <x:v>Corporate</x:v>
      </x:c>
      <x:c r="F62" t="str">
        <x:f>INDEX(Customers!$D$2:$D$81,MATCH(C62,Customers!$A$2:$A$81,0))</x:f>
        <x:v>North</x:v>
      </x:c>
      <x:c r="G62" t="str">
        <x:f>Raw_Orders!D62</x:f>
        <x:v>P004</x:v>
      </x:c>
      <x:c r="H62" t="str">
        <x:f>INDEX(Products!$B$2:$B$13,MATCH(G62,Products!$A$2:$A$13,0))</x:f>
        <x:v>24in Monitor</x:v>
      </x:c>
      <x:c r="I62" t="str">
        <x:f>INDEX(Products!$C$2:$C$13,MATCH(G62,Products!$A$2:$A$13,0))</x:f>
        <x:v>Displays</x:v>
      </x:c>
      <x:c r="J62" t="str">
        <x:f>Raw_Orders!G62</x:f>
        <x:v>Online</x:v>
      </x:c>
      <x:c r="K62" t="n">
        <x:f>Raw_Orders!E62</x:f>
        <x:v>3</x:v>
      </x:c>
      <x:c r="L62" s="12" t="n">
        <x:f>Raw_Orders!F62</x:f>
        <x:v>0.05</x:v>
      </x:c>
      <x:c r="M62" s="14" t="n">
        <x:f>INDEX(Products!$D$2:$D$13,MATCH(G62,Products!$A$2:$A$13,0))</x:f>
        <x:v>220</x:v>
      </x:c>
      <x:c r="N62" s="14" t="n">
        <x:f>INDEX(Products!$E$2:$E$13,MATCH(G62,Products!$A$2:$A$13,0))</x:f>
        <x:v>142</x:v>
      </x:c>
      <x:c r="O62" s="14" t="n">
        <x:f>K62*M62</x:f>
        <x:v>660</x:v>
      </x:c>
      <x:c r="P62" s="14" t="n">
        <x:f>O62*(1-L62)</x:f>
        <x:v>627</x:v>
      </x:c>
      <x:c r="Q62" s="14" t="n">
        <x:f>K62*N62</x:f>
        <x:v>426</x:v>
      </x:c>
      <x:c r="R62" s="14" t="n">
        <x:f>P62-Q62</x:f>
        <x:v>201</x:v>
      </x:c>
      <x:c r="S62" s="16" t="n">
        <x:f>IFERROR(R62/P62,0)</x:f>
        <x:v>0.32057416267942584</x:v>
      </x:c>
    </x:row>
    <x:row r="63" ht="15" hidden="0" customHeight="1">
      <x:c r="A63" t="str">
        <x:f>Raw_Orders!A63</x:f>
        <x:v>O0062</x:v>
      </x:c>
      <x:c r="B63" s="10" t="n">
        <x:f>Raw_Orders!B63</x:f>
        <x:v>46001</x:v>
      </x:c>
      <x:c r="C63" t="str">
        <x:f>Raw_Orders!C63</x:f>
        <x:v>C039</x:v>
      </x:c>
      <x:c r="D63" t="str">
        <x:f>INDEX(Customers!$B$2:$B$81,MATCH(C63,Customers!$A$2:$A$81,0))</x:f>
        <x:v>Customer 39</x:v>
      </x:c>
      <x:c r="E63" t="str">
        <x:f>INDEX(Customers!$C$2:$C$81,MATCH(C63,Customers!$A$2:$A$81,0))</x:f>
        <x:v>Small Business</x:v>
      </x:c>
      <x:c r="F63" t="str">
        <x:f>INDEX(Customers!$D$2:$D$81,MATCH(C63,Customers!$A$2:$A$81,0))</x:f>
        <x:v>East</x:v>
      </x:c>
      <x:c r="G63" t="str">
        <x:f>Raw_Orders!D63</x:f>
        <x:v>P008</x:v>
      </x:c>
      <x:c r="H63" t="str">
        <x:f>INDEX(Products!$B$2:$B$13,MATCH(G63,Products!$A$2:$A$13,0))</x:f>
        <x:v>Webcam</x:v>
      </x:c>
      <x:c r="I63" t="str">
        <x:f>INDEX(Products!$C$2:$C$13,MATCH(G63,Products!$A$2:$A$13,0))</x:f>
        <x:v>Accessories</x:v>
      </x:c>
      <x:c r="J63" t="str">
        <x:f>Raw_Orders!G63</x:f>
        <x:v>Online</x:v>
      </x:c>
      <x:c r="K63" t="n">
        <x:f>Raw_Orders!E63</x:f>
        <x:v>3</x:v>
      </x:c>
      <x:c r="L63" s="12" t="n">
        <x:f>Raw_Orders!F63</x:f>
        <x:v>0</x:v>
      </x:c>
      <x:c r="M63" s="14" t="n">
        <x:f>INDEX(Products!$D$2:$D$13,MATCH(G63,Products!$A$2:$A$13,0))</x:f>
        <x:v>95</x:v>
      </x:c>
      <x:c r="N63" s="14" t="n">
        <x:f>INDEX(Products!$E$2:$E$13,MATCH(G63,Products!$A$2:$A$13,0))</x:f>
        <x:v>49</x:v>
      </x:c>
      <x:c r="O63" s="14" t="n">
        <x:f>K63*M63</x:f>
        <x:v>285</x:v>
      </x:c>
      <x:c r="P63" s="14" t="n">
        <x:f>O63*(1-L63)</x:f>
        <x:v>285</x:v>
      </x:c>
      <x:c r="Q63" s="14" t="n">
        <x:f>K63*N63</x:f>
        <x:v>147</x:v>
      </x:c>
      <x:c r="R63" s="14" t="n">
        <x:f>P63-Q63</x:f>
        <x:v>138</x:v>
      </x:c>
      <x:c r="S63" s="16" t="n">
        <x:f>IFERROR(R63/P63,0)</x:f>
        <x:v>0.4842105263157895</x:v>
      </x:c>
    </x:row>
    <x:row r="64" ht="15" hidden="0" customHeight="1">
      <x:c r="A64" t="str">
        <x:f>Raw_Orders!A64</x:f>
        <x:v>O0063</x:v>
      </x:c>
      <x:c r="B64" s="10" t="n">
        <x:f>Raw_Orders!B64</x:f>
        <x:v>45892</x:v>
      </x:c>
      <x:c r="C64" t="str">
        <x:f>Raw_Orders!C64</x:f>
        <x:v>C080</x:v>
      </x:c>
      <x:c r="D64" t="str">
        <x:f>INDEX(Customers!$B$2:$B$81,MATCH(C64,Customers!$A$2:$A$81,0))</x:f>
        <x:v>Customer 80</x:v>
      </x:c>
      <x:c r="E64" t="str">
        <x:f>INDEX(Customers!$C$2:$C$81,MATCH(C64,Customers!$A$2:$A$81,0))</x:f>
        <x:v>Corporate</x:v>
      </x:c>
      <x:c r="F64" t="str">
        <x:f>INDEX(Customers!$D$2:$D$81,MATCH(C64,Customers!$A$2:$A$81,0))</x:f>
        <x:v>West</x:v>
      </x:c>
      <x:c r="G64" t="str">
        <x:f>Raw_Orders!D64</x:f>
        <x:v>P010</x:v>
      </x:c>
      <x:c r="H64" t="str">
        <x:f>INDEX(Products!$B$2:$B$13,MATCH(G64,Products!$A$2:$A$13,0))</x:f>
        <x:v>Portable SSD</x:v>
      </x:c>
      <x:c r="I64" t="str">
        <x:f>INDEX(Products!$C$2:$C$13,MATCH(G64,Products!$A$2:$A$13,0))</x:f>
        <x:v>Storage</x:v>
      </x:c>
      <x:c r="J64" t="str">
        <x:f>Raw_Orders!G64</x:f>
        <x:v>Partner</x:v>
      </x:c>
      <x:c r="K64" t="n">
        <x:f>Raw_Orders!E64</x:f>
        <x:v>1</x:v>
      </x:c>
      <x:c r="L64" s="12" t="n">
        <x:f>Raw_Orders!F64</x:f>
        <x:v>0</x:v>
      </x:c>
      <x:c r="M64" s="14" t="n">
        <x:f>INDEX(Products!$D$2:$D$13,MATCH(G64,Products!$A$2:$A$13,0))</x:f>
        <x:v>145</x:v>
      </x:c>
      <x:c r="N64" s="14" t="n">
        <x:f>INDEX(Products!$E$2:$E$13,MATCH(G64,Products!$A$2:$A$13,0))</x:f>
        <x:v>86</x:v>
      </x:c>
      <x:c r="O64" s="14" t="n">
        <x:f>K64*M64</x:f>
        <x:v>145</x:v>
      </x:c>
      <x:c r="P64" s="14" t="n">
        <x:f>O64*(1-L64)</x:f>
        <x:v>145</x:v>
      </x:c>
      <x:c r="Q64" s="14" t="n">
        <x:f>K64*N64</x:f>
        <x:v>86</x:v>
      </x:c>
      <x:c r="R64" s="14" t="n">
        <x:f>P64-Q64</x:f>
        <x:v>59</x:v>
      </x:c>
      <x:c r="S64" s="16" t="n">
        <x:f>IFERROR(R64/P64,0)</x:f>
        <x:v>0.4068965517241379</x:v>
      </x:c>
    </x:row>
    <x:row r="65" ht="15" hidden="0" customHeight="1">
      <x:c r="A65" t="str">
        <x:f>Raw_Orders!A65</x:f>
        <x:v>O0064</x:v>
      </x:c>
      <x:c r="B65" s="10" t="n">
        <x:f>Raw_Orders!B65</x:f>
        <x:v>45767</x:v>
      </x:c>
      <x:c r="C65" t="str">
        <x:f>Raw_Orders!C65</x:f>
        <x:v>C065</x:v>
      </x:c>
      <x:c r="D65" t="str">
        <x:f>INDEX(Customers!$B$2:$B$81,MATCH(C65,Customers!$A$2:$A$81,0))</x:f>
        <x:v>Customer 65</x:v>
      </x:c>
      <x:c r="E65" t="str">
        <x:f>INDEX(Customers!$C$2:$C$81,MATCH(C65,Customers!$A$2:$A$81,0))</x:f>
        <x:v>Corporate</x:v>
      </x:c>
      <x:c r="F65" t="str">
        <x:f>INDEX(Customers!$D$2:$D$81,MATCH(C65,Customers!$A$2:$A$81,0))</x:f>
        <x:v>North</x:v>
      </x:c>
      <x:c r="G65" t="str">
        <x:f>Raw_Orders!D65</x:f>
        <x:v>P005</x:v>
      </x:c>
      <x:c r="H65" t="str">
        <x:f>INDEX(Products!$B$2:$B$13,MATCH(G65,Products!$A$2:$A$13,0))</x:f>
        <x:v>27in Monitor</x:v>
      </x:c>
      <x:c r="I65" t="str">
        <x:f>INDEX(Products!$C$2:$C$13,MATCH(G65,Products!$A$2:$A$13,0))</x:f>
        <x:v>Displays</x:v>
      </x:c>
      <x:c r="J65" t="str">
        <x:f>Raw_Orders!G65</x:f>
        <x:v>Online</x:v>
      </x:c>
      <x:c r="K65" t="n">
        <x:f>Raw_Orders!E65</x:f>
        <x:v>2</x:v>
      </x:c>
      <x:c r="L65" s="12" t="n">
        <x:f>Raw_Orders!F65</x:f>
        <x:v>0</x:v>
      </x:c>
      <x:c r="M65" s="14" t="n">
        <x:f>INDEX(Products!$D$2:$D$13,MATCH(G65,Products!$A$2:$A$13,0))</x:f>
        <x:v>310</x:v>
      </x:c>
      <x:c r="N65" s="14" t="n">
        <x:f>INDEX(Products!$E$2:$E$13,MATCH(G65,Products!$A$2:$A$13,0))</x:f>
        <x:v>205</x:v>
      </x:c>
      <x:c r="O65" s="14" t="n">
        <x:f>K65*M65</x:f>
        <x:v>620</x:v>
      </x:c>
      <x:c r="P65" s="14" t="n">
        <x:f>O65*(1-L65)</x:f>
        <x:v>620</x:v>
      </x:c>
      <x:c r="Q65" s="14" t="n">
        <x:f>K65*N65</x:f>
        <x:v>410</x:v>
      </x:c>
      <x:c r="R65" s="14" t="n">
        <x:f>P65-Q65</x:f>
        <x:v>210</x:v>
      </x:c>
      <x:c r="S65" s="16" t="n">
        <x:f>IFERROR(R65/P65,0)</x:f>
        <x:v>0.3387096774193548</x:v>
      </x:c>
    </x:row>
    <x:row r="66" ht="15" hidden="0" customHeight="1">
      <x:c r="A66" t="str">
        <x:f>Raw_Orders!A66</x:f>
        <x:v>O0065</x:v>
      </x:c>
      <x:c r="B66" s="10" t="n">
        <x:f>Raw_Orders!B66</x:f>
        <x:v>45783</x:v>
      </x:c>
      <x:c r="C66" t="str">
        <x:f>Raw_Orders!C66</x:f>
        <x:v>C048</x:v>
      </x:c>
      <x:c r="D66" t="str">
        <x:f>INDEX(Customers!$B$2:$B$81,MATCH(C66,Customers!$A$2:$A$81,0))</x:f>
        <x:v>Customer 48</x:v>
      </x:c>
      <x:c r="E66" t="str">
        <x:f>INDEX(Customers!$C$2:$C$81,MATCH(C66,Customers!$A$2:$A$81,0))</x:f>
        <x:v>Small Business</x:v>
      </x:c>
      <x:c r="F66" t="str">
        <x:f>INDEX(Customers!$D$2:$D$81,MATCH(C66,Customers!$A$2:$A$81,0))</x:f>
        <x:v>West</x:v>
      </x:c>
      <x:c r="G66" t="str">
        <x:f>Raw_Orders!D66</x:f>
        <x:v>P005</x:v>
      </x:c>
      <x:c r="H66" t="str">
        <x:f>INDEX(Products!$B$2:$B$13,MATCH(G66,Products!$A$2:$A$13,0))</x:f>
        <x:v>27in Monitor</x:v>
      </x:c>
      <x:c r="I66" t="str">
        <x:f>INDEX(Products!$C$2:$C$13,MATCH(G66,Products!$A$2:$A$13,0))</x:f>
        <x:v>Displays</x:v>
      </x:c>
      <x:c r="J66" t="str">
        <x:f>Raw_Orders!G66</x:f>
        <x:v>Partner</x:v>
      </x:c>
      <x:c r="K66" t="n">
        <x:f>Raw_Orders!E66</x:f>
        <x:v>2</x:v>
      </x:c>
      <x:c r="L66" s="12" t="n">
        <x:f>Raw_Orders!F66</x:f>
        <x:v>0.05</x:v>
      </x:c>
      <x:c r="M66" s="14" t="n">
        <x:f>INDEX(Products!$D$2:$D$13,MATCH(G66,Products!$A$2:$A$13,0))</x:f>
        <x:v>310</x:v>
      </x:c>
      <x:c r="N66" s="14" t="n">
        <x:f>INDEX(Products!$E$2:$E$13,MATCH(G66,Products!$A$2:$A$13,0))</x:f>
        <x:v>205</x:v>
      </x:c>
      <x:c r="O66" s="14" t="n">
        <x:f>K66*M66</x:f>
        <x:v>620</x:v>
      </x:c>
      <x:c r="P66" s="14" t="n">
        <x:f>O66*(1-L66)</x:f>
        <x:v>589</x:v>
      </x:c>
      <x:c r="Q66" s="14" t="n">
        <x:f>K66*N66</x:f>
        <x:v>410</x:v>
      </x:c>
      <x:c r="R66" s="14" t="n">
        <x:f>P66-Q66</x:f>
        <x:v>179</x:v>
      </x:c>
      <x:c r="S66" s="16" t="n">
        <x:f>IFERROR(R66/P66,0)</x:f>
        <x:v>0.30390492359932086</x:v>
      </x:c>
    </x:row>
    <x:row r="67" ht="15" hidden="0" customHeight="1">
      <x:c r="A67" t="str">
        <x:f>Raw_Orders!A67</x:f>
        <x:v>O0066</x:v>
      </x:c>
      <x:c r="B67" s="10" t="n">
        <x:f>Raw_Orders!B67</x:f>
        <x:v>46018</x:v>
      </x:c>
      <x:c r="C67" t="str">
        <x:f>Raw_Orders!C67</x:f>
        <x:v>C039</x:v>
      </x:c>
      <x:c r="D67" t="str">
        <x:f>INDEX(Customers!$B$2:$B$81,MATCH(C67,Customers!$A$2:$A$81,0))</x:f>
        <x:v>Customer 39</x:v>
      </x:c>
      <x:c r="E67" t="str">
        <x:f>INDEX(Customers!$C$2:$C$81,MATCH(C67,Customers!$A$2:$A$81,0))</x:f>
        <x:v>Small Business</x:v>
      </x:c>
      <x:c r="F67" t="str">
        <x:f>INDEX(Customers!$D$2:$D$81,MATCH(C67,Customers!$A$2:$A$81,0))</x:f>
        <x:v>East</x:v>
      </x:c>
      <x:c r="G67" t="str">
        <x:f>Raw_Orders!D67</x:f>
        <x:v>P010</x:v>
      </x:c>
      <x:c r="H67" t="str">
        <x:f>INDEX(Products!$B$2:$B$13,MATCH(G67,Products!$A$2:$A$13,0))</x:f>
        <x:v>Portable SSD</x:v>
      </x:c>
      <x:c r="I67" t="str">
        <x:f>INDEX(Products!$C$2:$C$13,MATCH(G67,Products!$A$2:$A$13,0))</x:f>
        <x:v>Storage</x:v>
      </x:c>
      <x:c r="J67" t="str">
        <x:f>Raw_Orders!G67</x:f>
        <x:v>Online</x:v>
      </x:c>
      <x:c r="K67" t="n">
        <x:f>Raw_Orders!E67</x:f>
        <x:v>6</x:v>
      </x:c>
      <x:c r="L67" s="12" t="n">
        <x:f>Raw_Orders!F67</x:f>
        <x:v>0.1</x:v>
      </x:c>
      <x:c r="M67" s="14" t="n">
        <x:f>INDEX(Products!$D$2:$D$13,MATCH(G67,Products!$A$2:$A$13,0))</x:f>
        <x:v>145</x:v>
      </x:c>
      <x:c r="N67" s="14" t="n">
        <x:f>INDEX(Products!$E$2:$E$13,MATCH(G67,Products!$A$2:$A$13,0))</x:f>
        <x:v>86</x:v>
      </x:c>
      <x:c r="O67" s="14" t="n">
        <x:f>K67*M67</x:f>
        <x:v>870</x:v>
      </x:c>
      <x:c r="P67" s="14" t="n">
        <x:f>O67*(1-L67)</x:f>
        <x:v>783</x:v>
      </x:c>
      <x:c r="Q67" s="14" t="n">
        <x:f>K67*N67</x:f>
        <x:v>516</x:v>
      </x:c>
      <x:c r="R67" s="14" t="n">
        <x:f>P67-Q67</x:f>
        <x:v>267</x:v>
      </x:c>
      <x:c r="S67" s="16" t="n">
        <x:f>IFERROR(R67/P67,0)</x:f>
        <x:v>0.34099616858237547</x:v>
      </x:c>
    </x:row>
    <x:row r="68" ht="15" hidden="0" customHeight="1">
      <x:c r="A68" t="str">
        <x:f>Raw_Orders!A68</x:f>
        <x:v>O0067</x:v>
      </x:c>
      <x:c r="B68" s="10" t="n">
        <x:f>Raw_Orders!B68</x:f>
        <x:v>45999</x:v>
      </x:c>
      <x:c r="C68" t="str">
        <x:f>Raw_Orders!C68</x:f>
        <x:v>C071</x:v>
      </x:c>
      <x:c r="D68" t="str">
        <x:f>INDEX(Customers!$B$2:$B$81,MATCH(C68,Customers!$A$2:$A$81,0))</x:f>
        <x:v>Customer 71</x:v>
      </x:c>
      <x:c r="E68" t="str">
        <x:f>INDEX(Customers!$C$2:$C$81,MATCH(C68,Customers!$A$2:$A$81,0))</x:f>
        <x:v>Corporate</x:v>
      </x:c>
      <x:c r="F68" t="str">
        <x:f>INDEX(Customers!$D$2:$D$81,MATCH(C68,Customers!$A$2:$A$81,0))</x:f>
        <x:v>East</x:v>
      </x:c>
      <x:c r="G68" t="str">
        <x:f>Raw_Orders!D68</x:f>
        <x:v>P005</x:v>
      </x:c>
      <x:c r="H68" t="str">
        <x:f>INDEX(Products!$B$2:$B$13,MATCH(G68,Products!$A$2:$A$13,0))</x:f>
        <x:v>27in Monitor</x:v>
      </x:c>
      <x:c r="I68" t="str">
        <x:f>INDEX(Products!$C$2:$C$13,MATCH(G68,Products!$A$2:$A$13,0))</x:f>
        <x:v>Displays</x:v>
      </x:c>
      <x:c r="J68" t="str">
        <x:f>Raw_Orders!G68</x:f>
        <x:v>Online</x:v>
      </x:c>
      <x:c r="K68" t="n">
        <x:f>Raw_Orders!E68</x:f>
        <x:v>6</x:v>
      </x:c>
      <x:c r="L68" s="12" t="n">
        <x:f>Raw_Orders!F68</x:f>
        <x:v>0</x:v>
      </x:c>
      <x:c r="M68" s="14" t="n">
        <x:f>INDEX(Products!$D$2:$D$13,MATCH(G68,Products!$A$2:$A$13,0))</x:f>
        <x:v>310</x:v>
      </x:c>
      <x:c r="N68" s="14" t="n">
        <x:f>INDEX(Products!$E$2:$E$13,MATCH(G68,Products!$A$2:$A$13,0))</x:f>
        <x:v>205</x:v>
      </x:c>
      <x:c r="O68" s="14" t="n">
        <x:f>K68*M68</x:f>
        <x:v>1860</x:v>
      </x:c>
      <x:c r="P68" s="14" t="n">
        <x:f>O68*(1-L68)</x:f>
        <x:v>1860</x:v>
      </x:c>
      <x:c r="Q68" s="14" t="n">
        <x:f>K68*N68</x:f>
        <x:v>1230</x:v>
      </x:c>
      <x:c r="R68" s="14" t="n">
        <x:f>P68-Q68</x:f>
        <x:v>630</x:v>
      </x:c>
      <x:c r="S68" s="16" t="n">
        <x:f>IFERROR(R68/P68,0)</x:f>
        <x:v>0.3387096774193548</x:v>
      </x:c>
    </x:row>
    <x:row r="69" ht="15" hidden="0" customHeight="1">
      <x:c r="A69" t="str">
        <x:f>Raw_Orders!A69</x:f>
        <x:v>O0068</x:v>
      </x:c>
      <x:c r="B69" s="10" t="n">
        <x:f>Raw_Orders!B69</x:f>
        <x:v>45793</x:v>
      </x:c>
      <x:c r="C69" t="str">
        <x:f>Raw_Orders!C69</x:f>
        <x:v>C015</x:v>
      </x:c>
      <x:c r="D69" t="str">
        <x:f>INDEX(Customers!$B$2:$B$81,MATCH(C69,Customers!$A$2:$A$81,0))</x:f>
        <x:v>Customer 15</x:v>
      </x:c>
      <x:c r="E69" t="str">
        <x:f>INDEX(Customers!$C$2:$C$81,MATCH(C69,Customers!$A$2:$A$81,0))</x:f>
        <x:v>Small Business</x:v>
      </x:c>
      <x:c r="F69" t="str">
        <x:f>INDEX(Customers!$D$2:$D$81,MATCH(C69,Customers!$A$2:$A$81,0))</x:f>
        <x:v>East</x:v>
      </x:c>
      <x:c r="G69" t="str">
        <x:f>Raw_Orders!D69</x:f>
        <x:v>P002</x:v>
      </x:c>
      <x:c r="H69" t="str">
        <x:f>INDEX(Products!$B$2:$B$13,MATCH(G69,Products!$A$2:$A$13,0))</x:f>
        <x:v>Mechanical Keyboard</x:v>
      </x:c>
      <x:c r="I69" t="str">
        <x:f>INDEX(Products!$C$2:$C$13,MATCH(G69,Products!$A$2:$A$13,0))</x:f>
        <x:v>Accessories</x:v>
      </x:c>
      <x:c r="J69" t="str">
        <x:f>Raw_Orders!G69</x:f>
        <x:v>Online</x:v>
      </x:c>
      <x:c r="K69" t="n">
        <x:f>Raw_Orders!E69</x:f>
        <x:v>6</x:v>
      </x:c>
      <x:c r="L69" s="12" t="n">
        <x:f>Raw_Orders!F69</x:f>
        <x:v>0.1</x:v>
      </x:c>
      <x:c r="M69" s="14" t="n">
        <x:f>INDEX(Products!$D$2:$D$13,MATCH(G69,Products!$A$2:$A$13,0))</x:f>
        <x:v>110</x:v>
      </x:c>
      <x:c r="N69" s="14" t="n">
        <x:f>INDEX(Products!$E$2:$E$13,MATCH(G69,Products!$A$2:$A$13,0))</x:f>
        <x:v>58</x:v>
      </x:c>
      <x:c r="O69" s="14" t="n">
        <x:f>K69*M69</x:f>
        <x:v>660</x:v>
      </x:c>
      <x:c r="P69" s="14" t="n">
        <x:f>O69*(1-L69)</x:f>
        <x:v>594</x:v>
      </x:c>
      <x:c r="Q69" s="14" t="n">
        <x:f>K69*N69</x:f>
        <x:v>348</x:v>
      </x:c>
      <x:c r="R69" s="14" t="n">
        <x:f>P69-Q69</x:f>
        <x:v>246</x:v>
      </x:c>
      <x:c r="S69" s="16" t="n">
        <x:f>IFERROR(R69/P69,0)</x:f>
        <x:v>0.41414141414141414</x:v>
      </x:c>
    </x:row>
    <x:row r="70" ht="15" hidden="0" customHeight="1">
      <x:c r="A70" t="str">
        <x:f>Raw_Orders!A70</x:f>
        <x:v>O0069</x:v>
      </x:c>
      <x:c r="B70" s="10" t="n">
        <x:f>Raw_Orders!B70</x:f>
        <x:v>45797</x:v>
      </x:c>
      <x:c r="C70" t="str">
        <x:f>Raw_Orders!C70</x:f>
        <x:v>C037</x:v>
      </x:c>
      <x:c r="D70" t="str">
        <x:f>INDEX(Customers!$B$2:$B$81,MATCH(C70,Customers!$A$2:$A$81,0))</x:f>
        <x:v>Customer 37</x:v>
      </x:c>
      <x:c r="E70" t="str">
        <x:f>INDEX(Customers!$C$2:$C$81,MATCH(C70,Customers!$A$2:$A$81,0))</x:f>
        <x:v>Consumer</x:v>
      </x:c>
      <x:c r="F70" t="str">
        <x:f>INDEX(Customers!$D$2:$D$81,MATCH(C70,Customers!$A$2:$A$81,0))</x:f>
        <x:v>North</x:v>
      </x:c>
      <x:c r="G70" t="str">
        <x:f>Raw_Orders!D70</x:f>
        <x:v>P010</x:v>
      </x:c>
      <x:c r="H70" t="str">
        <x:f>INDEX(Products!$B$2:$B$13,MATCH(G70,Products!$A$2:$A$13,0))</x:f>
        <x:v>Portable SSD</x:v>
      </x:c>
      <x:c r="I70" t="str">
        <x:f>INDEX(Products!$C$2:$C$13,MATCH(G70,Products!$A$2:$A$13,0))</x:f>
        <x:v>Storage</x:v>
      </x:c>
      <x:c r="J70" t="str">
        <x:f>Raw_Orders!G70</x:f>
        <x:v>Retail</x:v>
      </x:c>
      <x:c r="K70" t="n">
        <x:f>Raw_Orders!E70</x:f>
        <x:v>2</x:v>
      </x:c>
      <x:c r="L70" s="12" t="n">
        <x:f>Raw_Orders!F70</x:f>
        <x:v>0.15</x:v>
      </x:c>
      <x:c r="M70" s="14" t="n">
        <x:f>INDEX(Products!$D$2:$D$13,MATCH(G70,Products!$A$2:$A$13,0))</x:f>
        <x:v>145</x:v>
      </x:c>
      <x:c r="N70" s="14" t="n">
        <x:f>INDEX(Products!$E$2:$E$13,MATCH(G70,Products!$A$2:$A$13,0))</x:f>
        <x:v>86</x:v>
      </x:c>
      <x:c r="O70" s="14" t="n">
        <x:f>K70*M70</x:f>
        <x:v>290</x:v>
      </x:c>
      <x:c r="P70" s="14" t="n">
        <x:f>O70*(1-L70)</x:f>
        <x:v>246.5</x:v>
      </x:c>
      <x:c r="Q70" s="14" t="n">
        <x:f>K70*N70</x:f>
        <x:v>172</x:v>
      </x:c>
      <x:c r="R70" s="14" t="n">
        <x:f>P70-Q70</x:f>
        <x:v>74.5</x:v>
      </x:c>
      <x:c r="S70" s="16" t="n">
        <x:f>IFERROR(R70/P70,0)</x:f>
        <x:v>0.3022312373225152</x:v>
      </x:c>
    </x:row>
    <x:row r="71" ht="15" hidden="0" customHeight="1">
      <x:c r="A71" t="str">
        <x:f>Raw_Orders!A71</x:f>
        <x:v>O0070</x:v>
      </x:c>
      <x:c r="B71" s="10" t="n">
        <x:f>Raw_Orders!B71</x:f>
        <x:v>45762</x:v>
      </x:c>
      <x:c r="C71" t="str">
        <x:f>Raw_Orders!C71</x:f>
        <x:v>C034</x:v>
      </x:c>
      <x:c r="D71" t="str">
        <x:f>INDEX(Customers!$B$2:$B$81,MATCH(C71,Customers!$A$2:$A$81,0))</x:f>
        <x:v>Customer 34</x:v>
      </x:c>
      <x:c r="E71" t="str">
        <x:f>INDEX(Customers!$C$2:$C$81,MATCH(C71,Customers!$A$2:$A$81,0))</x:f>
        <x:v>Consumer</x:v>
      </x:c>
      <x:c r="F71" t="str">
        <x:f>INDEX(Customers!$D$2:$D$81,MATCH(C71,Customers!$A$2:$A$81,0))</x:f>
        <x:v>South</x:v>
      </x:c>
      <x:c r="G71" t="str">
        <x:f>Raw_Orders!D71</x:f>
        <x:v>P009</x:v>
      </x:c>
      <x:c r="H71" t="str">
        <x:f>INDEX(Products!$B$2:$B$13,MATCH(G71,Products!$A$2:$A$13,0))</x:f>
        <x:v>Desk Lamp</x:v>
      </x:c>
      <x:c r="I71" t="str">
        <x:f>INDEX(Products!$C$2:$C$13,MATCH(G71,Products!$A$2:$A$13,0))</x:f>
        <x:v>Office</x:v>
      </x:c>
      <x:c r="J71" t="str">
        <x:f>Raw_Orders!G71</x:f>
        <x:v>Online</x:v>
      </x:c>
      <x:c r="K71" t="n">
        <x:f>Raw_Orders!E71</x:f>
        <x:v>4</x:v>
      </x:c>
      <x:c r="L71" s="12" t="n">
        <x:f>Raw_Orders!F71</x:f>
        <x:v>0</x:v>
      </x:c>
      <x:c r="M71" s="14" t="n">
        <x:f>INDEX(Products!$D$2:$D$13,MATCH(G71,Products!$A$2:$A$13,0))</x:f>
        <x:v>70</x:v>
      </x:c>
      <x:c r="N71" s="14" t="n">
        <x:f>INDEX(Products!$E$2:$E$13,MATCH(G71,Products!$A$2:$A$13,0))</x:f>
        <x:v>29</x:v>
      </x:c>
      <x:c r="O71" s="14" t="n">
        <x:f>K71*M71</x:f>
        <x:v>280</x:v>
      </x:c>
      <x:c r="P71" s="14" t="n">
        <x:f>O71*(1-L71)</x:f>
        <x:v>280</x:v>
      </x:c>
      <x:c r="Q71" s="14" t="n">
        <x:f>K71*N71</x:f>
        <x:v>116</x:v>
      </x:c>
      <x:c r="R71" s="14" t="n">
        <x:f>P71-Q71</x:f>
        <x:v>164</x:v>
      </x:c>
      <x:c r="S71" s="16" t="n">
        <x:f>IFERROR(R71/P71,0)</x:f>
        <x:v>0.5857142857142857</x:v>
      </x:c>
    </x:row>
    <x:row r="72" ht="15" hidden="0" customHeight="1">
      <x:c r="A72" t="str">
        <x:f>Raw_Orders!A72</x:f>
        <x:v>O0071</x:v>
      </x:c>
      <x:c r="B72" s="10" t="n">
        <x:f>Raw_Orders!B72</x:f>
        <x:v>45705</x:v>
      </x:c>
      <x:c r="C72" t="str">
        <x:f>Raw_Orders!C72</x:f>
        <x:v>C055</x:v>
      </x:c>
      <x:c r="D72" t="str">
        <x:f>INDEX(Customers!$B$2:$B$81,MATCH(C72,Customers!$A$2:$A$81,0))</x:f>
        <x:v>Customer 55</x:v>
      </x:c>
      <x:c r="E72" t="str">
        <x:f>INDEX(Customers!$C$2:$C$81,MATCH(C72,Customers!$A$2:$A$81,0))</x:f>
        <x:v>Consumer</x:v>
      </x:c>
      <x:c r="F72" t="str">
        <x:f>INDEX(Customers!$D$2:$D$81,MATCH(C72,Customers!$A$2:$A$81,0))</x:f>
        <x:v>East</x:v>
      </x:c>
      <x:c r="G72" t="str">
        <x:f>Raw_Orders!D72</x:f>
        <x:v>P005</x:v>
      </x:c>
      <x:c r="H72" t="str">
        <x:f>INDEX(Products!$B$2:$B$13,MATCH(G72,Products!$A$2:$A$13,0))</x:f>
        <x:v>27in Monitor</x:v>
      </x:c>
      <x:c r="I72" t="str">
        <x:f>INDEX(Products!$C$2:$C$13,MATCH(G72,Products!$A$2:$A$13,0))</x:f>
        <x:v>Displays</x:v>
      </x:c>
      <x:c r="J72" t="str">
        <x:f>Raw_Orders!G72</x:f>
        <x:v>Retail</x:v>
      </x:c>
      <x:c r="K72" t="n">
        <x:f>Raw_Orders!E72</x:f>
        <x:v>1</x:v>
      </x:c>
      <x:c r="L72" s="12" t="n">
        <x:f>Raw_Orders!F72</x:f>
        <x:v>0</x:v>
      </x:c>
      <x:c r="M72" s="14" t="n">
        <x:f>INDEX(Products!$D$2:$D$13,MATCH(G72,Products!$A$2:$A$13,0))</x:f>
        <x:v>310</x:v>
      </x:c>
      <x:c r="N72" s="14" t="n">
        <x:f>INDEX(Products!$E$2:$E$13,MATCH(G72,Products!$A$2:$A$13,0))</x:f>
        <x:v>205</x:v>
      </x:c>
      <x:c r="O72" s="14" t="n">
        <x:f>K72*M72</x:f>
        <x:v>310</x:v>
      </x:c>
      <x:c r="P72" s="14" t="n">
        <x:f>O72*(1-L72)</x:f>
        <x:v>310</x:v>
      </x:c>
      <x:c r="Q72" s="14" t="n">
        <x:f>K72*N72</x:f>
        <x:v>205</x:v>
      </x:c>
      <x:c r="R72" s="14" t="n">
        <x:f>P72-Q72</x:f>
        <x:v>105</x:v>
      </x:c>
      <x:c r="S72" s="16" t="n">
        <x:f>IFERROR(R72/P72,0)</x:f>
        <x:v>0.3387096774193548</x:v>
      </x:c>
    </x:row>
    <x:row r="73" ht="15" hidden="0" customHeight="1">
      <x:c r="A73" t="str">
        <x:f>Raw_Orders!A73</x:f>
        <x:v>O0072</x:v>
      </x:c>
      <x:c r="B73" s="10" t="n">
        <x:f>Raw_Orders!B73</x:f>
        <x:v>45724</x:v>
      </x:c>
      <x:c r="C73" t="str">
        <x:f>Raw_Orders!C73</x:f>
        <x:v>C034</x:v>
      </x:c>
      <x:c r="D73" t="str">
        <x:f>INDEX(Customers!$B$2:$B$81,MATCH(C73,Customers!$A$2:$A$81,0))</x:f>
        <x:v>Customer 34</x:v>
      </x:c>
      <x:c r="E73" t="str">
        <x:f>INDEX(Customers!$C$2:$C$81,MATCH(C73,Customers!$A$2:$A$81,0))</x:f>
        <x:v>Consumer</x:v>
      </x:c>
      <x:c r="F73" t="str">
        <x:f>INDEX(Customers!$D$2:$D$81,MATCH(C73,Customers!$A$2:$A$81,0))</x:f>
        <x:v>South</x:v>
      </x:c>
      <x:c r="G73" t="str">
        <x:f>Raw_Orders!D73</x:f>
        <x:v>P003</x:v>
      </x:c>
      <x:c r="H73" t="str">
        <x:f>INDEX(Products!$B$2:$B$13,MATCH(G73,Products!$A$2:$A$13,0))</x:f>
        <x:v>USB-C Hub</x:v>
      </x:c>
      <x:c r="I73" t="str">
        <x:f>INDEX(Products!$C$2:$C$13,MATCH(G73,Products!$A$2:$A$13,0))</x:f>
        <x:v>Accessories</x:v>
      </x:c>
      <x:c r="J73" t="str">
        <x:f>Raw_Orders!G73</x:f>
        <x:v>Partner</x:v>
      </x:c>
      <x:c r="K73" t="n">
        <x:f>Raw_Orders!E73</x:f>
        <x:v>6</x:v>
      </x:c>
      <x:c r="L73" s="12" t="n">
        <x:f>Raw_Orders!F73</x:f>
        <x:v>0.05</x:v>
      </x:c>
      <x:c r="M73" s="14" t="n">
        <x:f>INDEX(Products!$D$2:$D$13,MATCH(G73,Products!$A$2:$A$13,0))</x:f>
        <x:v>65</x:v>
      </x:c>
      <x:c r="N73" s="14" t="n">
        <x:f>INDEX(Products!$E$2:$E$13,MATCH(G73,Products!$A$2:$A$13,0))</x:f>
        <x:v>31</x:v>
      </x:c>
      <x:c r="O73" s="14" t="n">
        <x:f>K73*M73</x:f>
        <x:v>390</x:v>
      </x:c>
      <x:c r="P73" s="14" t="n">
        <x:f>O73*(1-L73)</x:f>
        <x:v>370.5</x:v>
      </x:c>
      <x:c r="Q73" s="14" t="n">
        <x:f>K73*N73</x:f>
        <x:v>186</x:v>
      </x:c>
      <x:c r="R73" s="14" t="n">
        <x:f>P73-Q73</x:f>
        <x:v>184.5</x:v>
      </x:c>
      <x:c r="S73" s="16" t="n">
        <x:f>IFERROR(R73/P73,0)</x:f>
        <x:v>0.4979757085020243</x:v>
      </x:c>
    </x:row>
    <x:row r="74" ht="15" hidden="0" customHeight="1">
      <x:c r="A74" t="str">
        <x:f>Raw_Orders!A74</x:f>
        <x:v>O0073</x:v>
      </x:c>
      <x:c r="B74" s="10" t="n">
        <x:f>Raw_Orders!B74</x:f>
        <x:v>46019</x:v>
      </x:c>
      <x:c r="C74" t="str">
        <x:f>Raw_Orders!C74</x:f>
        <x:v>C055</x:v>
      </x:c>
      <x:c r="D74" t="str">
        <x:f>INDEX(Customers!$B$2:$B$81,MATCH(C74,Customers!$A$2:$A$81,0))</x:f>
        <x:v>Customer 55</x:v>
      </x:c>
      <x:c r="E74" t="str">
        <x:f>INDEX(Customers!$C$2:$C$81,MATCH(C74,Customers!$A$2:$A$81,0))</x:f>
        <x:v>Consumer</x:v>
      </x:c>
      <x:c r="F74" t="str">
        <x:f>INDEX(Customers!$D$2:$D$81,MATCH(C74,Customers!$A$2:$A$81,0))</x:f>
        <x:v>East</x:v>
      </x:c>
      <x:c r="G74" t="str">
        <x:f>Raw_Orders!D74</x:f>
        <x:v>P009</x:v>
      </x:c>
      <x:c r="H74" t="str">
        <x:f>INDEX(Products!$B$2:$B$13,MATCH(G74,Products!$A$2:$A$13,0))</x:f>
        <x:v>Desk Lamp</x:v>
      </x:c>
      <x:c r="I74" t="str">
        <x:f>INDEX(Products!$C$2:$C$13,MATCH(G74,Products!$A$2:$A$13,0))</x:f>
        <x:v>Office</x:v>
      </x:c>
      <x:c r="J74" t="str">
        <x:f>Raw_Orders!G74</x:f>
        <x:v>Online</x:v>
      </x:c>
      <x:c r="K74" t="n">
        <x:f>Raw_Orders!E74</x:f>
        <x:v>1</x:v>
      </x:c>
      <x:c r="L74" s="12" t="n">
        <x:f>Raw_Orders!F74</x:f>
        <x:v>0</x:v>
      </x:c>
      <x:c r="M74" s="14" t="n">
        <x:f>INDEX(Products!$D$2:$D$13,MATCH(G74,Products!$A$2:$A$13,0))</x:f>
        <x:v>70</x:v>
      </x:c>
      <x:c r="N74" s="14" t="n">
        <x:f>INDEX(Products!$E$2:$E$13,MATCH(G74,Products!$A$2:$A$13,0))</x:f>
        <x:v>29</x:v>
      </x:c>
      <x:c r="O74" s="14" t="n">
        <x:f>K74*M74</x:f>
        <x:v>70</x:v>
      </x:c>
      <x:c r="P74" s="14" t="n">
        <x:f>O74*(1-L74)</x:f>
        <x:v>70</x:v>
      </x:c>
      <x:c r="Q74" s="14" t="n">
        <x:f>K74*N74</x:f>
        <x:v>29</x:v>
      </x:c>
      <x:c r="R74" s="14" t="n">
        <x:f>P74-Q74</x:f>
        <x:v>41</x:v>
      </x:c>
      <x:c r="S74" s="16" t="n">
        <x:f>IFERROR(R74/P74,0)</x:f>
        <x:v>0.5857142857142857</x:v>
      </x:c>
    </x:row>
    <x:row r="75" ht="15" hidden="0" customHeight="1">
      <x:c r="A75" t="str">
        <x:f>Raw_Orders!A75</x:f>
        <x:v>O0074</x:v>
      </x:c>
      <x:c r="B75" s="10" t="n">
        <x:f>Raw_Orders!B75</x:f>
        <x:v>46011</x:v>
      </x:c>
      <x:c r="C75" t="str">
        <x:f>Raw_Orders!C75</x:f>
        <x:v>C020</x:v>
      </x:c>
      <x:c r="D75" t="str">
        <x:f>INDEX(Customers!$B$2:$B$81,MATCH(C75,Customers!$A$2:$A$81,0))</x:f>
        <x:v>Customer 20</x:v>
      </x:c>
      <x:c r="E75" t="str">
        <x:f>INDEX(Customers!$C$2:$C$81,MATCH(C75,Customers!$A$2:$A$81,0))</x:f>
        <x:v>Corporate</x:v>
      </x:c>
      <x:c r="F75" t="str">
        <x:f>INDEX(Customers!$D$2:$D$81,MATCH(C75,Customers!$A$2:$A$81,0))</x:f>
        <x:v>West</x:v>
      </x:c>
      <x:c r="G75" t="str">
        <x:f>Raw_Orders!D75</x:f>
        <x:v>P009</x:v>
      </x:c>
      <x:c r="H75" t="str">
        <x:f>INDEX(Products!$B$2:$B$13,MATCH(G75,Products!$A$2:$A$13,0))</x:f>
        <x:v>Desk Lamp</x:v>
      </x:c>
      <x:c r="I75" t="str">
        <x:f>INDEX(Products!$C$2:$C$13,MATCH(G75,Products!$A$2:$A$13,0))</x:f>
        <x:v>Office</x:v>
      </x:c>
      <x:c r="J75" t="str">
        <x:f>Raw_Orders!G75</x:f>
        <x:v>Partner</x:v>
      </x:c>
      <x:c r="K75" t="n">
        <x:f>Raw_Orders!E75</x:f>
        <x:v>1</x:v>
      </x:c>
      <x:c r="L75" s="12" t="n">
        <x:f>Raw_Orders!F75</x:f>
        <x:v>0</x:v>
      </x:c>
      <x:c r="M75" s="14" t="n">
        <x:f>INDEX(Products!$D$2:$D$13,MATCH(G75,Products!$A$2:$A$13,0))</x:f>
        <x:v>70</x:v>
      </x:c>
      <x:c r="N75" s="14" t="n">
        <x:f>INDEX(Products!$E$2:$E$13,MATCH(G75,Products!$A$2:$A$13,0))</x:f>
        <x:v>29</x:v>
      </x:c>
      <x:c r="O75" s="14" t="n">
        <x:f>K75*M75</x:f>
        <x:v>70</x:v>
      </x:c>
      <x:c r="P75" s="14" t="n">
        <x:f>O75*(1-L75)</x:f>
        <x:v>70</x:v>
      </x:c>
      <x:c r="Q75" s="14" t="n">
        <x:f>K75*N75</x:f>
        <x:v>29</x:v>
      </x:c>
      <x:c r="R75" s="14" t="n">
        <x:f>P75-Q75</x:f>
        <x:v>41</x:v>
      </x:c>
      <x:c r="S75" s="16" t="n">
        <x:f>IFERROR(R75/P75,0)</x:f>
        <x:v>0.5857142857142857</x:v>
      </x:c>
    </x:row>
    <x:row r="76" ht="15" hidden="0" customHeight="1">
      <x:c r="A76" t="str">
        <x:f>Raw_Orders!A76</x:f>
        <x:v>O0075</x:v>
      </x:c>
      <x:c r="B76" s="10" t="n">
        <x:f>Raw_Orders!B76</x:f>
        <x:v>45940</x:v>
      </x:c>
      <x:c r="C76" t="str">
        <x:f>Raw_Orders!C76</x:f>
        <x:v>C019</x:v>
      </x:c>
      <x:c r="D76" t="str">
        <x:f>INDEX(Customers!$B$2:$B$81,MATCH(C76,Customers!$A$2:$A$81,0))</x:f>
        <x:v>Customer 19</x:v>
      </x:c>
      <x:c r="E76" t="str">
        <x:f>INDEX(Customers!$C$2:$C$81,MATCH(C76,Customers!$A$2:$A$81,0))</x:f>
        <x:v>Consumer</x:v>
      </x:c>
      <x:c r="F76" t="str">
        <x:f>INDEX(Customers!$D$2:$D$81,MATCH(C76,Customers!$A$2:$A$81,0))</x:f>
        <x:v>East</x:v>
      </x:c>
      <x:c r="G76" t="str">
        <x:f>Raw_Orders!D76</x:f>
        <x:v>P007</x:v>
      </x:c>
      <x:c r="H76" t="str">
        <x:f>INDEX(Products!$B$2:$B$13,MATCH(G76,Products!$A$2:$A$13,0))</x:f>
        <x:v>Ergonomic Chair</x:v>
      </x:c>
      <x:c r="I76" t="str">
        <x:f>INDEX(Products!$C$2:$C$13,MATCH(G76,Products!$A$2:$A$13,0))</x:f>
        <x:v>Office</x:v>
      </x:c>
      <x:c r="J76" t="str">
        <x:f>Raw_Orders!G76</x:f>
        <x:v>Retail</x:v>
      </x:c>
      <x:c r="K76" t="n">
        <x:f>Raw_Orders!E76</x:f>
        <x:v>2</x:v>
      </x:c>
      <x:c r="L76" s="12" t="n">
        <x:f>Raw_Orders!F76</x:f>
        <x:v>0</x:v>
      </x:c>
      <x:c r="M76" s="14" t="n">
        <x:f>INDEX(Products!$D$2:$D$13,MATCH(G76,Products!$A$2:$A$13,0))</x:f>
        <x:v>390</x:v>
      </x:c>
      <x:c r="N76" s="14" t="n">
        <x:f>INDEX(Products!$E$2:$E$13,MATCH(G76,Products!$A$2:$A$13,0))</x:f>
        <x:v>245</x:v>
      </x:c>
      <x:c r="O76" s="14" t="n">
        <x:f>K76*M76</x:f>
        <x:v>780</x:v>
      </x:c>
      <x:c r="P76" s="14" t="n">
        <x:f>O76*(1-L76)</x:f>
        <x:v>780</x:v>
      </x:c>
      <x:c r="Q76" s="14" t="n">
        <x:f>K76*N76</x:f>
        <x:v>490</x:v>
      </x:c>
      <x:c r="R76" s="14" t="n">
        <x:f>P76-Q76</x:f>
        <x:v>290</x:v>
      </x:c>
      <x:c r="S76" s="16" t="n">
        <x:f>IFERROR(R76/P76,0)</x:f>
        <x:v>0.3717948717948718</x:v>
      </x:c>
    </x:row>
    <x:row r="77" ht="15" hidden="0" customHeight="1">
      <x:c r="A77" t="str">
        <x:f>Raw_Orders!A77</x:f>
        <x:v>O0076</x:v>
      </x:c>
      <x:c r="B77" s="10" t="n">
        <x:f>Raw_Orders!B77</x:f>
        <x:v>45844</x:v>
      </x:c>
      <x:c r="C77" t="str">
        <x:f>Raw_Orders!C77</x:f>
        <x:v>C006</x:v>
      </x:c>
      <x:c r="D77" t="str">
        <x:f>INDEX(Customers!$B$2:$B$81,MATCH(C77,Customers!$A$2:$A$81,0))</x:f>
        <x:v>Customer 06</x:v>
      </x:c>
      <x:c r="E77" t="str">
        <x:f>INDEX(Customers!$C$2:$C$81,MATCH(C77,Customers!$A$2:$A$81,0))</x:f>
        <x:v>Small Business</x:v>
      </x:c>
      <x:c r="F77" t="str">
        <x:f>INDEX(Customers!$D$2:$D$81,MATCH(C77,Customers!$A$2:$A$81,0))</x:f>
        <x:v>South</x:v>
      </x:c>
      <x:c r="G77" t="str">
        <x:f>Raw_Orders!D77</x:f>
        <x:v>P006</x:v>
      </x:c>
      <x:c r="H77" t="str">
        <x:f>INDEX(Products!$B$2:$B$13,MATCH(G77,Products!$A$2:$A$13,0))</x:f>
        <x:v>Laptop Stand</x:v>
      </x:c>
      <x:c r="I77" t="str">
        <x:f>INDEX(Products!$C$2:$C$13,MATCH(G77,Products!$A$2:$A$13,0))</x:f>
        <x:v>Office</x:v>
      </x:c>
      <x:c r="J77" t="str">
        <x:f>Raw_Orders!G77</x:f>
        <x:v>Online</x:v>
      </x:c>
      <x:c r="K77" t="n">
        <x:f>Raw_Orders!E77</x:f>
        <x:v>2</x:v>
      </x:c>
      <x:c r="L77" s="12" t="n">
        <x:f>Raw_Orders!F77</x:f>
        <x:v>0.15</x:v>
      </x:c>
      <x:c r="M77" s="14" t="n">
        <x:f>INDEX(Products!$D$2:$D$13,MATCH(G77,Products!$A$2:$A$13,0))</x:f>
        <x:v>55</x:v>
      </x:c>
      <x:c r="N77" s="14" t="n">
        <x:f>INDEX(Products!$E$2:$E$13,MATCH(G77,Products!$A$2:$A$13,0))</x:f>
        <x:v>24</x:v>
      </x:c>
      <x:c r="O77" s="14" t="n">
        <x:f>K77*M77</x:f>
        <x:v>110</x:v>
      </x:c>
      <x:c r="P77" s="14" t="n">
        <x:f>O77*(1-L77)</x:f>
        <x:v>93.5</x:v>
      </x:c>
      <x:c r="Q77" s="14" t="n">
        <x:f>K77*N77</x:f>
        <x:v>48</x:v>
      </x:c>
      <x:c r="R77" s="14" t="n">
        <x:f>P77-Q77</x:f>
        <x:v>45.5</x:v>
      </x:c>
      <x:c r="S77" s="16" t="n">
        <x:f>IFERROR(R77/P77,0)</x:f>
        <x:v>0.48663101604278075</x:v>
      </x:c>
    </x:row>
    <x:row r="78" ht="15" hidden="0" customHeight="1">
      <x:c r="A78" t="str">
        <x:f>Raw_Orders!A78</x:f>
        <x:v>O0077</x:v>
      </x:c>
      <x:c r="B78" s="10" t="n">
        <x:f>Raw_Orders!B78</x:f>
        <x:v>45999</x:v>
      </x:c>
      <x:c r="C78" t="str">
        <x:f>Raw_Orders!C78</x:f>
        <x:v>C014</x:v>
      </x:c>
      <x:c r="D78" t="str">
        <x:f>INDEX(Customers!$B$2:$B$81,MATCH(C78,Customers!$A$2:$A$81,0))</x:f>
        <x:v>Customer 14</x:v>
      </x:c>
      <x:c r="E78" t="str">
        <x:f>INDEX(Customers!$C$2:$C$81,MATCH(C78,Customers!$A$2:$A$81,0))</x:f>
        <x:v>Corporate</x:v>
      </x:c>
      <x:c r="F78" t="str">
        <x:f>INDEX(Customers!$D$2:$D$81,MATCH(C78,Customers!$A$2:$A$81,0))</x:f>
        <x:v>South</x:v>
      </x:c>
      <x:c r="G78" t="str">
        <x:f>Raw_Orders!D78</x:f>
        <x:v>P006</x:v>
      </x:c>
      <x:c r="H78" t="str">
        <x:f>INDEX(Products!$B$2:$B$13,MATCH(G78,Products!$A$2:$A$13,0))</x:f>
        <x:v>Laptop Stand</x:v>
      </x:c>
      <x:c r="I78" t="str">
        <x:f>INDEX(Products!$C$2:$C$13,MATCH(G78,Products!$A$2:$A$13,0))</x:f>
        <x:v>Office</x:v>
      </x:c>
      <x:c r="J78" t="str">
        <x:f>Raw_Orders!G78</x:f>
        <x:v>Partner</x:v>
      </x:c>
      <x:c r="K78" t="n">
        <x:f>Raw_Orders!E78</x:f>
        <x:v>5</x:v>
      </x:c>
      <x:c r="L78" s="12" t="n">
        <x:f>Raw_Orders!F78</x:f>
        <x:v>0.05</x:v>
      </x:c>
      <x:c r="M78" s="14" t="n">
        <x:f>INDEX(Products!$D$2:$D$13,MATCH(G78,Products!$A$2:$A$13,0))</x:f>
        <x:v>55</x:v>
      </x:c>
      <x:c r="N78" s="14" t="n">
        <x:f>INDEX(Products!$E$2:$E$13,MATCH(G78,Products!$A$2:$A$13,0))</x:f>
        <x:v>24</x:v>
      </x:c>
      <x:c r="O78" s="14" t="n">
        <x:f>K78*M78</x:f>
        <x:v>275</x:v>
      </x:c>
      <x:c r="P78" s="14" t="n">
        <x:f>O78*(1-L78)</x:f>
        <x:v>261.25</x:v>
      </x:c>
      <x:c r="Q78" s="14" t="n">
        <x:f>K78*N78</x:f>
        <x:v>120</x:v>
      </x:c>
      <x:c r="R78" s="14" t="n">
        <x:f>P78-Q78</x:f>
        <x:v>141.25</x:v>
      </x:c>
      <x:c r="S78" s="16" t="n">
        <x:f>IFERROR(R78/P78,0)</x:f>
        <x:v>0.5406698564593302</x:v>
      </x:c>
    </x:row>
    <x:row r="79" ht="15" hidden="0" customHeight="1">
      <x:c r="A79" t="str">
        <x:f>Raw_Orders!A79</x:f>
        <x:v>O0078</x:v>
      </x:c>
      <x:c r="B79" s="10" t="n">
        <x:f>Raw_Orders!B79</x:f>
        <x:v>45737</x:v>
      </x:c>
      <x:c r="C79" t="str">
        <x:f>Raw_Orders!C79</x:f>
        <x:v>C031</x:v>
      </x:c>
      <x:c r="D79" t="str">
        <x:f>INDEX(Customers!$B$2:$B$81,MATCH(C79,Customers!$A$2:$A$81,0))</x:f>
        <x:v>Customer 31</x:v>
      </x:c>
      <x:c r="E79" t="str">
        <x:f>INDEX(Customers!$C$2:$C$81,MATCH(C79,Customers!$A$2:$A$81,0))</x:f>
        <x:v>Consumer</x:v>
      </x:c>
      <x:c r="F79" t="str">
        <x:f>INDEX(Customers!$D$2:$D$81,MATCH(C79,Customers!$A$2:$A$81,0))</x:f>
        <x:v>East</x:v>
      </x:c>
      <x:c r="G79" t="str">
        <x:f>Raw_Orders!D79</x:f>
        <x:v>P003</x:v>
      </x:c>
      <x:c r="H79" t="str">
        <x:f>INDEX(Products!$B$2:$B$13,MATCH(G79,Products!$A$2:$A$13,0))</x:f>
        <x:v>USB-C Hub</x:v>
      </x:c>
      <x:c r="I79" t="str">
        <x:f>INDEX(Products!$C$2:$C$13,MATCH(G79,Products!$A$2:$A$13,0))</x:f>
        <x:v>Accessories</x:v>
      </x:c>
      <x:c r="J79" t="str">
        <x:f>Raw_Orders!G79</x:f>
        <x:v>Online</x:v>
      </x:c>
      <x:c r="K79" t="n">
        <x:f>Raw_Orders!E79</x:f>
        <x:v>2</x:v>
      </x:c>
      <x:c r="L79" s="12" t="n">
        <x:f>Raw_Orders!F79</x:f>
        <x:v>0.05</x:v>
      </x:c>
      <x:c r="M79" s="14" t="n">
        <x:f>INDEX(Products!$D$2:$D$13,MATCH(G79,Products!$A$2:$A$13,0))</x:f>
        <x:v>65</x:v>
      </x:c>
      <x:c r="N79" s="14" t="n">
        <x:f>INDEX(Products!$E$2:$E$13,MATCH(G79,Products!$A$2:$A$13,0))</x:f>
        <x:v>31</x:v>
      </x:c>
      <x:c r="O79" s="14" t="n">
        <x:f>K79*M79</x:f>
        <x:v>130</x:v>
      </x:c>
      <x:c r="P79" s="14" t="n">
        <x:f>O79*(1-L79)</x:f>
        <x:v>123.5</x:v>
      </x:c>
      <x:c r="Q79" s="14" t="n">
        <x:f>K79*N79</x:f>
        <x:v>62</x:v>
      </x:c>
      <x:c r="R79" s="14" t="n">
        <x:f>P79-Q79</x:f>
        <x:v>61.5</x:v>
      </x:c>
      <x:c r="S79" s="16" t="n">
        <x:f>IFERROR(R79/P79,0)</x:f>
        <x:v>0.4979757085020243</x:v>
      </x:c>
    </x:row>
    <x:row r="80" ht="15" hidden="0" customHeight="1">
      <x:c r="A80" t="str">
        <x:f>Raw_Orders!A80</x:f>
        <x:v>O0079</x:v>
      </x:c>
      <x:c r="B80" s="10" t="n">
        <x:f>Raw_Orders!B80</x:f>
        <x:v>45749</x:v>
      </x:c>
      <x:c r="C80" t="str">
        <x:f>Raw_Orders!C80</x:f>
        <x:v>C043</x:v>
      </x:c>
      <x:c r="D80" t="str">
        <x:f>INDEX(Customers!$B$2:$B$81,MATCH(C80,Customers!$A$2:$A$81,0))</x:f>
        <x:v>Customer 43</x:v>
      </x:c>
      <x:c r="E80" t="str">
        <x:f>INDEX(Customers!$C$2:$C$81,MATCH(C80,Customers!$A$2:$A$81,0))</x:f>
        <x:v>Consumer</x:v>
      </x:c>
      <x:c r="F80" t="str">
        <x:f>INDEX(Customers!$D$2:$D$81,MATCH(C80,Customers!$A$2:$A$81,0))</x:f>
        <x:v>East</x:v>
      </x:c>
      <x:c r="G80" t="str">
        <x:f>Raw_Orders!D80</x:f>
        <x:v>P007</x:v>
      </x:c>
      <x:c r="H80" t="str">
        <x:f>INDEX(Products!$B$2:$B$13,MATCH(G80,Products!$A$2:$A$13,0))</x:f>
        <x:v>Ergonomic Chair</x:v>
      </x:c>
      <x:c r="I80" t="str">
        <x:f>INDEX(Products!$C$2:$C$13,MATCH(G80,Products!$A$2:$A$13,0))</x:f>
        <x:v>Office</x:v>
      </x:c>
      <x:c r="J80" t="str">
        <x:f>Raw_Orders!G80</x:f>
        <x:v>Online</x:v>
      </x:c>
      <x:c r="K80" t="n">
        <x:f>Raw_Orders!E80</x:f>
        <x:v>6</x:v>
      </x:c>
      <x:c r="L80" s="12" t="n">
        <x:f>Raw_Orders!F80</x:f>
        <x:v>0.15</x:v>
      </x:c>
      <x:c r="M80" s="14" t="n">
        <x:f>INDEX(Products!$D$2:$D$13,MATCH(G80,Products!$A$2:$A$13,0))</x:f>
        <x:v>390</x:v>
      </x:c>
      <x:c r="N80" s="14" t="n">
        <x:f>INDEX(Products!$E$2:$E$13,MATCH(G80,Products!$A$2:$A$13,0))</x:f>
        <x:v>245</x:v>
      </x:c>
      <x:c r="O80" s="14" t="n">
        <x:f>K80*M80</x:f>
        <x:v>2340</x:v>
      </x:c>
      <x:c r="P80" s="14" t="n">
        <x:f>O80*(1-L80)</x:f>
        <x:v>1989</x:v>
      </x:c>
      <x:c r="Q80" s="14" t="n">
        <x:f>K80*N80</x:f>
        <x:v>1470</x:v>
      </x:c>
      <x:c r="R80" s="14" t="n">
        <x:f>P80-Q80</x:f>
        <x:v>519</x:v>
      </x:c>
      <x:c r="S80" s="16" t="n">
        <x:f>IFERROR(R80/P80,0)</x:f>
        <x:v>0.2609351432880845</x:v>
      </x:c>
    </x:row>
    <x:row r="81" ht="15" hidden="0" customHeight="1">
      <x:c r="A81" t="str">
        <x:f>Raw_Orders!A81</x:f>
        <x:v>O0080</x:v>
      </x:c>
      <x:c r="B81" s="10" t="n">
        <x:f>Raw_Orders!B81</x:f>
        <x:v>45794</x:v>
      </x:c>
      <x:c r="C81" t="str">
        <x:f>Raw_Orders!C81</x:f>
        <x:v>C021</x:v>
      </x:c>
      <x:c r="D81" t="str">
        <x:f>INDEX(Customers!$B$2:$B$81,MATCH(C81,Customers!$A$2:$A$81,0))</x:f>
        <x:v>Customer 21</x:v>
      </x:c>
      <x:c r="E81" t="str">
        <x:f>INDEX(Customers!$C$2:$C$81,MATCH(C81,Customers!$A$2:$A$81,0))</x:f>
        <x:v>Small Business</x:v>
      </x:c>
      <x:c r="F81" t="str">
        <x:f>INDEX(Customers!$D$2:$D$81,MATCH(C81,Customers!$A$2:$A$81,0))</x:f>
        <x:v>North</x:v>
      </x:c>
      <x:c r="G81" t="str">
        <x:f>Raw_Orders!D81</x:f>
        <x:v>P012</x:v>
      </x:c>
      <x:c r="H81" t="str">
        <x:f>INDEX(Products!$B$2:$B$13,MATCH(G81,Products!$A$2:$A$13,0))</x:f>
        <x:v>Docking Station</x:v>
      </x:c>
      <x:c r="I81" t="str">
        <x:f>INDEX(Products!$C$2:$C$13,MATCH(G81,Products!$A$2:$A$13,0))</x:f>
        <x:v>Accessories</x:v>
      </x:c>
      <x:c r="J81" t="str">
        <x:f>Raw_Orders!G81</x:f>
        <x:v>Online</x:v>
      </x:c>
      <x:c r="K81" t="n">
        <x:f>Raw_Orders!E81</x:f>
        <x:v>1</x:v>
      </x:c>
      <x:c r="L81" s="12" t="n">
        <x:f>Raw_Orders!F81</x:f>
        <x:v>0.05</x:v>
      </x:c>
      <x:c r="M81" s="14" t="n">
        <x:f>INDEX(Products!$D$2:$D$13,MATCH(G81,Products!$A$2:$A$13,0))</x:f>
        <x:v>180</x:v>
      </x:c>
      <x:c r="N81" s="14" t="n">
        <x:f>INDEX(Products!$E$2:$E$13,MATCH(G81,Products!$A$2:$A$13,0))</x:f>
        <x:v>104</x:v>
      </x:c>
      <x:c r="O81" s="14" t="n">
        <x:f>K81*M81</x:f>
        <x:v>180</x:v>
      </x:c>
      <x:c r="P81" s="14" t="n">
        <x:f>O81*(1-L81)</x:f>
        <x:v>171</x:v>
      </x:c>
      <x:c r="Q81" s="14" t="n">
        <x:f>K81*N81</x:f>
        <x:v>104</x:v>
      </x:c>
      <x:c r="R81" s="14" t="n">
        <x:f>P81-Q81</x:f>
        <x:v>67</x:v>
      </x:c>
      <x:c r="S81" s="16" t="n">
        <x:f>IFERROR(R81/P81,0)</x:f>
        <x:v>0.391812865497076</x:v>
      </x:c>
    </x:row>
    <x:row r="82" ht="15" hidden="0" customHeight="1">
      <x:c r="A82" t="str">
        <x:f>Raw_Orders!A82</x:f>
        <x:v>O0081</x:v>
      </x:c>
      <x:c r="B82" s="10" t="n">
        <x:f>Raw_Orders!B82</x:f>
        <x:v>45898</x:v>
      </x:c>
      <x:c r="C82" t="str">
        <x:f>Raw_Orders!C82</x:f>
        <x:v>C029</x:v>
      </x:c>
      <x:c r="D82" t="str">
        <x:f>INDEX(Customers!$B$2:$B$81,MATCH(C82,Customers!$A$2:$A$81,0))</x:f>
        <x:v>Customer 29</x:v>
      </x:c>
      <x:c r="E82" t="str">
        <x:f>INDEX(Customers!$C$2:$C$81,MATCH(C82,Customers!$A$2:$A$81,0))</x:f>
        <x:v>Corporate</x:v>
      </x:c>
      <x:c r="F82" t="str">
        <x:f>INDEX(Customers!$D$2:$D$81,MATCH(C82,Customers!$A$2:$A$81,0))</x:f>
        <x:v>North</x:v>
      </x:c>
      <x:c r="G82" t="str">
        <x:f>Raw_Orders!D82</x:f>
        <x:v>P004</x:v>
      </x:c>
      <x:c r="H82" t="str">
        <x:f>INDEX(Products!$B$2:$B$13,MATCH(G82,Products!$A$2:$A$13,0))</x:f>
        <x:v>24in Monitor</x:v>
      </x:c>
      <x:c r="I82" t="str">
        <x:f>INDEX(Products!$C$2:$C$13,MATCH(G82,Products!$A$2:$A$13,0))</x:f>
        <x:v>Displays</x:v>
      </x:c>
      <x:c r="J82" t="str">
        <x:f>Raw_Orders!G82</x:f>
        <x:v>Retail</x:v>
      </x:c>
      <x:c r="K82" t="n">
        <x:f>Raw_Orders!E82</x:f>
        <x:v>4</x:v>
      </x:c>
      <x:c r="L82" s="12" t="n">
        <x:f>Raw_Orders!F82</x:f>
        <x:v>0</x:v>
      </x:c>
      <x:c r="M82" s="14" t="n">
        <x:f>INDEX(Products!$D$2:$D$13,MATCH(G82,Products!$A$2:$A$13,0))</x:f>
        <x:v>220</x:v>
      </x:c>
      <x:c r="N82" s="14" t="n">
        <x:f>INDEX(Products!$E$2:$E$13,MATCH(G82,Products!$A$2:$A$13,0))</x:f>
        <x:v>142</x:v>
      </x:c>
      <x:c r="O82" s="14" t="n">
        <x:f>K82*M82</x:f>
        <x:v>880</x:v>
      </x:c>
      <x:c r="P82" s="14" t="n">
        <x:f>O82*(1-L82)</x:f>
        <x:v>880</x:v>
      </x:c>
      <x:c r="Q82" s="14" t="n">
        <x:f>K82*N82</x:f>
        <x:v>568</x:v>
      </x:c>
      <x:c r="R82" s="14" t="n">
        <x:f>P82-Q82</x:f>
        <x:v>312</x:v>
      </x:c>
      <x:c r="S82" s="16" t="n">
        <x:f>IFERROR(R82/P82,0)</x:f>
        <x:v>0.35454545454545455</x:v>
      </x:c>
    </x:row>
    <x:row r="83" ht="15" hidden="0" customHeight="1">
      <x:c r="A83" t="str">
        <x:f>Raw_Orders!A83</x:f>
        <x:v>O0082</x:v>
      </x:c>
      <x:c r="B83" s="10" t="n">
        <x:f>Raw_Orders!B83</x:f>
        <x:v>45774</x:v>
      </x:c>
      <x:c r="C83" t="str">
        <x:f>Raw_Orders!C83</x:f>
        <x:v>C029</x:v>
      </x:c>
      <x:c r="D83" t="str">
        <x:f>INDEX(Customers!$B$2:$B$81,MATCH(C83,Customers!$A$2:$A$81,0))</x:f>
        <x:v>Customer 29</x:v>
      </x:c>
      <x:c r="E83" t="str">
        <x:f>INDEX(Customers!$C$2:$C$81,MATCH(C83,Customers!$A$2:$A$81,0))</x:f>
        <x:v>Corporate</x:v>
      </x:c>
      <x:c r="F83" t="str">
        <x:f>INDEX(Customers!$D$2:$D$81,MATCH(C83,Customers!$A$2:$A$81,0))</x:f>
        <x:v>North</x:v>
      </x:c>
      <x:c r="G83" t="str">
        <x:f>Raw_Orders!D83</x:f>
        <x:v>P001</x:v>
      </x:c>
      <x:c r="H83" t="str">
        <x:f>INDEX(Products!$B$2:$B$13,MATCH(G83,Products!$A$2:$A$13,0))</x:f>
        <x:v>Wireless Headset</x:v>
      </x:c>
      <x:c r="I83" t="str">
        <x:f>INDEX(Products!$C$2:$C$13,MATCH(G83,Products!$A$2:$A$13,0))</x:f>
        <x:v>Accessories</x:v>
      </x:c>
      <x:c r="J83" t="str">
        <x:f>Raw_Orders!G83</x:f>
        <x:v>Retail</x:v>
      </x:c>
      <x:c r="K83" t="n">
        <x:f>Raw_Orders!E83</x:f>
        <x:v>6</x:v>
      </x:c>
      <x:c r="L83" s="12" t="n">
        <x:f>Raw_Orders!F83</x:f>
        <x:v>0</x:v>
      </x:c>
      <x:c r="M83" s="14" t="n">
        <x:f>INDEX(Products!$D$2:$D$13,MATCH(G83,Products!$A$2:$A$13,0))</x:f>
        <x:v>85</x:v>
      </x:c>
      <x:c r="N83" s="14" t="n">
        <x:f>INDEX(Products!$E$2:$E$13,MATCH(G83,Products!$A$2:$A$13,0))</x:f>
        <x:v>42</x:v>
      </x:c>
      <x:c r="O83" s="14" t="n">
        <x:f>K83*M83</x:f>
        <x:v>510</x:v>
      </x:c>
      <x:c r="P83" s="14" t="n">
        <x:f>O83*(1-L83)</x:f>
        <x:v>510</x:v>
      </x:c>
      <x:c r="Q83" s="14" t="n">
        <x:f>K83*N83</x:f>
        <x:v>252</x:v>
      </x:c>
      <x:c r="R83" s="14" t="n">
        <x:f>P83-Q83</x:f>
        <x:v>258</x:v>
      </x:c>
      <x:c r="S83" s="16" t="n">
        <x:f>IFERROR(R83/P83,0)</x:f>
        <x:v>0.5058823529411764</x:v>
      </x:c>
    </x:row>
    <x:row r="84" ht="15" hidden="0" customHeight="1">
      <x:c r="A84" t="str">
        <x:f>Raw_Orders!A84</x:f>
        <x:v>O0083</x:v>
      </x:c>
      <x:c r="B84" s="10" t="n">
        <x:f>Raw_Orders!B84</x:f>
        <x:v>45826</x:v>
      </x:c>
      <x:c r="C84" t="str">
        <x:f>Raw_Orders!C84</x:f>
        <x:v>C036</x:v>
      </x:c>
      <x:c r="D84" t="str">
        <x:f>INDEX(Customers!$B$2:$B$81,MATCH(C84,Customers!$A$2:$A$81,0))</x:f>
        <x:v>Customer 36</x:v>
      </x:c>
      <x:c r="E84" t="str">
        <x:f>INDEX(Customers!$C$2:$C$81,MATCH(C84,Customers!$A$2:$A$81,0))</x:f>
        <x:v>Small Business</x:v>
      </x:c>
      <x:c r="F84" t="str">
        <x:f>INDEX(Customers!$D$2:$D$81,MATCH(C84,Customers!$A$2:$A$81,0))</x:f>
        <x:v>West</x:v>
      </x:c>
      <x:c r="G84" t="str">
        <x:f>Raw_Orders!D84</x:f>
        <x:v>P002</x:v>
      </x:c>
      <x:c r="H84" t="str">
        <x:f>INDEX(Products!$B$2:$B$13,MATCH(G84,Products!$A$2:$A$13,0))</x:f>
        <x:v>Mechanical Keyboard</x:v>
      </x:c>
      <x:c r="I84" t="str">
        <x:f>INDEX(Products!$C$2:$C$13,MATCH(G84,Products!$A$2:$A$13,0))</x:f>
        <x:v>Accessories</x:v>
      </x:c>
      <x:c r="J84" t="str">
        <x:f>Raw_Orders!G84</x:f>
        <x:v>Partner</x:v>
      </x:c>
      <x:c r="K84" t="n">
        <x:f>Raw_Orders!E84</x:f>
        <x:v>3</x:v>
      </x:c>
      <x:c r="L84" s="12" t="n">
        <x:f>Raw_Orders!F84</x:f>
        <x:v>0</x:v>
      </x:c>
      <x:c r="M84" s="14" t="n">
        <x:f>INDEX(Products!$D$2:$D$13,MATCH(G84,Products!$A$2:$A$13,0))</x:f>
        <x:v>110</x:v>
      </x:c>
      <x:c r="N84" s="14" t="n">
        <x:f>INDEX(Products!$E$2:$E$13,MATCH(G84,Products!$A$2:$A$13,0))</x:f>
        <x:v>58</x:v>
      </x:c>
      <x:c r="O84" s="14" t="n">
        <x:f>K84*M84</x:f>
        <x:v>330</x:v>
      </x:c>
      <x:c r="P84" s="14" t="n">
        <x:f>O84*(1-L84)</x:f>
        <x:v>330</x:v>
      </x:c>
      <x:c r="Q84" s="14" t="n">
        <x:f>K84*N84</x:f>
        <x:v>174</x:v>
      </x:c>
      <x:c r="R84" s="14" t="n">
        <x:f>P84-Q84</x:f>
        <x:v>156</x:v>
      </x:c>
      <x:c r="S84" s="16" t="n">
        <x:f>IFERROR(R84/P84,0)</x:f>
        <x:v>0.4727272727272727</x:v>
      </x:c>
    </x:row>
    <x:row r="85" ht="15" hidden="0" customHeight="1">
      <x:c r="A85" t="str">
        <x:f>Raw_Orders!A85</x:f>
        <x:v>O0084</x:v>
      </x:c>
      <x:c r="B85" s="10" t="n">
        <x:f>Raw_Orders!B85</x:f>
        <x:v>45918</x:v>
      </x:c>
      <x:c r="C85" t="str">
        <x:f>Raw_Orders!C85</x:f>
        <x:v>C052</x:v>
      </x:c>
      <x:c r="D85" t="str">
        <x:f>INDEX(Customers!$B$2:$B$81,MATCH(C85,Customers!$A$2:$A$81,0))</x:f>
        <x:v>Customer 52</x:v>
      </x:c>
      <x:c r="E85" t="str">
        <x:f>INDEX(Customers!$C$2:$C$81,MATCH(C85,Customers!$A$2:$A$81,0))</x:f>
        <x:v>Consumer</x:v>
      </x:c>
      <x:c r="F85" t="str">
        <x:f>INDEX(Customers!$D$2:$D$81,MATCH(C85,Customers!$A$2:$A$81,0))</x:f>
        <x:v>West</x:v>
      </x:c>
      <x:c r="G85" t="str">
        <x:f>Raw_Orders!D85</x:f>
        <x:v>P011</x:v>
      </x:c>
      <x:c r="H85" t="str">
        <x:f>INDEX(Products!$B$2:$B$13,MATCH(G85,Products!$A$2:$A$13,0))</x:f>
        <x:v>External HDD</x:v>
      </x:c>
      <x:c r="I85" t="str">
        <x:f>INDEX(Products!$C$2:$C$13,MATCH(G85,Products!$A$2:$A$13,0))</x:f>
        <x:v>Storage</x:v>
      </x:c>
      <x:c r="J85" t="str">
        <x:f>Raw_Orders!G85</x:f>
        <x:v>Online</x:v>
      </x:c>
      <x:c r="K85" t="n">
        <x:f>Raw_Orders!E85</x:f>
        <x:v>5</x:v>
      </x:c>
      <x:c r="L85" s="12" t="n">
        <x:f>Raw_Orders!F85</x:f>
        <x:v>0</x:v>
      </x:c>
      <x:c r="M85" s="14" t="n">
        <x:f>INDEX(Products!$D$2:$D$13,MATCH(G85,Products!$A$2:$A$13,0))</x:f>
        <x:v>120</x:v>
      </x:c>
      <x:c r="N85" s="14" t="n">
        <x:f>INDEX(Products!$E$2:$E$13,MATCH(G85,Products!$A$2:$A$13,0))</x:f>
        <x:v>72</x:v>
      </x:c>
      <x:c r="O85" s="14" t="n">
        <x:f>K85*M85</x:f>
        <x:v>600</x:v>
      </x:c>
      <x:c r="P85" s="14" t="n">
        <x:f>O85*(1-L85)</x:f>
        <x:v>600</x:v>
      </x:c>
      <x:c r="Q85" s="14" t="n">
        <x:f>K85*N85</x:f>
        <x:v>360</x:v>
      </x:c>
      <x:c r="R85" s="14" t="n">
        <x:f>P85-Q85</x:f>
        <x:v>240</x:v>
      </x:c>
      <x:c r="S85" s="16" t="n">
        <x:f>IFERROR(R85/P85,0)</x:f>
        <x:v>0.4</x:v>
      </x:c>
    </x:row>
    <x:row r="86" ht="15" hidden="0" customHeight="1">
      <x:c r="A86" t="str">
        <x:f>Raw_Orders!A86</x:f>
        <x:v>O0085</x:v>
      </x:c>
      <x:c r="B86" s="10" t="n">
        <x:f>Raw_Orders!B86</x:f>
        <x:v>45717</x:v>
      </x:c>
      <x:c r="C86" t="str">
        <x:f>Raw_Orders!C86</x:f>
        <x:v>C034</x:v>
      </x:c>
      <x:c r="D86" t="str">
        <x:f>INDEX(Customers!$B$2:$B$81,MATCH(C86,Customers!$A$2:$A$81,0))</x:f>
        <x:v>Customer 34</x:v>
      </x:c>
      <x:c r="E86" t="str">
        <x:f>INDEX(Customers!$C$2:$C$81,MATCH(C86,Customers!$A$2:$A$81,0))</x:f>
        <x:v>Consumer</x:v>
      </x:c>
      <x:c r="F86" t="str">
        <x:f>INDEX(Customers!$D$2:$D$81,MATCH(C86,Customers!$A$2:$A$81,0))</x:f>
        <x:v>South</x:v>
      </x:c>
      <x:c r="G86" t="str">
        <x:f>Raw_Orders!D86</x:f>
        <x:v>P003</x:v>
      </x:c>
      <x:c r="H86" t="str">
        <x:f>INDEX(Products!$B$2:$B$13,MATCH(G86,Products!$A$2:$A$13,0))</x:f>
        <x:v>USB-C Hub</x:v>
      </x:c>
      <x:c r="I86" t="str">
        <x:f>INDEX(Products!$C$2:$C$13,MATCH(G86,Products!$A$2:$A$13,0))</x:f>
        <x:v>Accessories</x:v>
      </x:c>
      <x:c r="J86" t="str">
        <x:f>Raw_Orders!G86</x:f>
        <x:v>Online</x:v>
      </x:c>
      <x:c r="K86" t="n">
        <x:f>Raw_Orders!E86</x:f>
        <x:v>5</x:v>
      </x:c>
      <x:c r="L86" s="12" t="n">
        <x:f>Raw_Orders!F86</x:f>
        <x:v>0</x:v>
      </x:c>
      <x:c r="M86" s="14" t="n">
        <x:f>INDEX(Products!$D$2:$D$13,MATCH(G86,Products!$A$2:$A$13,0))</x:f>
        <x:v>65</x:v>
      </x:c>
      <x:c r="N86" s="14" t="n">
        <x:f>INDEX(Products!$E$2:$E$13,MATCH(G86,Products!$A$2:$A$13,0))</x:f>
        <x:v>31</x:v>
      </x:c>
      <x:c r="O86" s="14" t="n">
        <x:f>K86*M86</x:f>
        <x:v>325</x:v>
      </x:c>
      <x:c r="P86" s="14" t="n">
        <x:f>O86*(1-L86)</x:f>
        <x:v>325</x:v>
      </x:c>
      <x:c r="Q86" s="14" t="n">
        <x:f>K86*N86</x:f>
        <x:v>155</x:v>
      </x:c>
      <x:c r="R86" s="14" t="n">
        <x:f>P86-Q86</x:f>
        <x:v>170</x:v>
      </x:c>
      <x:c r="S86" s="16" t="n">
        <x:f>IFERROR(R86/P86,0)</x:f>
        <x:v>0.5230769230769231</x:v>
      </x:c>
    </x:row>
    <x:row r="87" ht="15" hidden="0" customHeight="1">
      <x:c r="A87" t="str">
        <x:f>Raw_Orders!A87</x:f>
        <x:v>O0086</x:v>
      </x:c>
      <x:c r="B87" s="10" t="n">
        <x:f>Raw_Orders!B87</x:f>
        <x:v>45713</x:v>
      </x:c>
      <x:c r="C87" t="str">
        <x:f>Raw_Orders!C87</x:f>
        <x:v>C077</x:v>
      </x:c>
      <x:c r="D87" t="str">
        <x:f>INDEX(Customers!$B$2:$B$81,MATCH(C87,Customers!$A$2:$A$81,0))</x:f>
        <x:v>Customer 77</x:v>
      </x:c>
      <x:c r="E87" t="str">
        <x:f>INDEX(Customers!$C$2:$C$81,MATCH(C87,Customers!$A$2:$A$81,0))</x:f>
        <x:v>Corporate</x:v>
      </x:c>
      <x:c r="F87" t="str">
        <x:f>INDEX(Customers!$D$2:$D$81,MATCH(C87,Customers!$A$2:$A$81,0))</x:f>
        <x:v>North</x:v>
      </x:c>
      <x:c r="G87" t="str">
        <x:f>Raw_Orders!D87</x:f>
        <x:v>P007</x:v>
      </x:c>
      <x:c r="H87" t="str">
        <x:f>INDEX(Products!$B$2:$B$13,MATCH(G87,Products!$A$2:$A$13,0))</x:f>
        <x:v>Ergonomic Chair</x:v>
      </x:c>
      <x:c r="I87" t="str">
        <x:f>INDEX(Products!$C$2:$C$13,MATCH(G87,Products!$A$2:$A$13,0))</x:f>
        <x:v>Office</x:v>
      </x:c>
      <x:c r="J87" t="str">
        <x:f>Raw_Orders!G87</x:f>
        <x:v>Retail</x:v>
      </x:c>
      <x:c r="K87" t="n">
        <x:f>Raw_Orders!E87</x:f>
        <x:v>3</x:v>
      </x:c>
      <x:c r="L87" s="12" t="n">
        <x:f>Raw_Orders!F87</x:f>
        <x:v>0.15</x:v>
      </x:c>
      <x:c r="M87" s="14" t="n">
        <x:f>INDEX(Products!$D$2:$D$13,MATCH(G87,Products!$A$2:$A$13,0))</x:f>
        <x:v>390</x:v>
      </x:c>
      <x:c r="N87" s="14" t="n">
        <x:f>INDEX(Products!$E$2:$E$13,MATCH(G87,Products!$A$2:$A$13,0))</x:f>
        <x:v>245</x:v>
      </x:c>
      <x:c r="O87" s="14" t="n">
        <x:f>K87*M87</x:f>
        <x:v>1170</x:v>
      </x:c>
      <x:c r="P87" s="14" t="n">
        <x:f>O87*(1-L87)</x:f>
        <x:v>994.5</x:v>
      </x:c>
      <x:c r="Q87" s="14" t="n">
        <x:f>K87*N87</x:f>
        <x:v>735</x:v>
      </x:c>
      <x:c r="R87" s="14" t="n">
        <x:f>P87-Q87</x:f>
        <x:v>259.5</x:v>
      </x:c>
      <x:c r="S87" s="16" t="n">
        <x:f>IFERROR(R87/P87,0)</x:f>
        <x:v>0.2609351432880845</x:v>
      </x:c>
    </x:row>
    <x:row r="88" ht="15" hidden="0" customHeight="1">
      <x:c r="A88" t="str">
        <x:f>Raw_Orders!A88</x:f>
        <x:v>O0087</x:v>
      </x:c>
      <x:c r="B88" s="10" t="n">
        <x:f>Raw_Orders!B88</x:f>
        <x:v>45881</x:v>
      </x:c>
      <x:c r="C88" t="str">
        <x:f>Raw_Orders!C88</x:f>
        <x:v>C078</x:v>
      </x:c>
      <x:c r="D88" t="str">
        <x:f>INDEX(Customers!$B$2:$B$81,MATCH(C88,Customers!$A$2:$A$81,0))</x:f>
        <x:v>Customer 78</x:v>
      </x:c>
      <x:c r="E88" t="str">
        <x:f>INDEX(Customers!$C$2:$C$81,MATCH(C88,Customers!$A$2:$A$81,0))</x:f>
        <x:v>Small Business</x:v>
      </x:c>
      <x:c r="F88" t="str">
        <x:f>INDEX(Customers!$D$2:$D$81,MATCH(C88,Customers!$A$2:$A$81,0))</x:f>
        <x:v>South</x:v>
      </x:c>
      <x:c r="G88" t="str">
        <x:f>Raw_Orders!D88</x:f>
        <x:v>P009</x:v>
      </x:c>
      <x:c r="H88" t="str">
        <x:f>INDEX(Products!$B$2:$B$13,MATCH(G88,Products!$A$2:$A$13,0))</x:f>
        <x:v>Desk Lamp</x:v>
      </x:c>
      <x:c r="I88" t="str">
        <x:f>INDEX(Products!$C$2:$C$13,MATCH(G88,Products!$A$2:$A$13,0))</x:f>
        <x:v>Office</x:v>
      </x:c>
      <x:c r="J88" t="str">
        <x:f>Raw_Orders!G88</x:f>
        <x:v>Partner</x:v>
      </x:c>
      <x:c r="K88" t="n">
        <x:f>Raw_Orders!E88</x:f>
        <x:v>1</x:v>
      </x:c>
      <x:c r="L88" s="12" t="n">
        <x:f>Raw_Orders!F88</x:f>
        <x:v>0.05</x:v>
      </x:c>
      <x:c r="M88" s="14" t="n">
        <x:f>INDEX(Products!$D$2:$D$13,MATCH(G88,Products!$A$2:$A$13,0))</x:f>
        <x:v>70</x:v>
      </x:c>
      <x:c r="N88" s="14" t="n">
        <x:f>INDEX(Products!$E$2:$E$13,MATCH(G88,Products!$A$2:$A$13,0))</x:f>
        <x:v>29</x:v>
      </x:c>
      <x:c r="O88" s="14" t="n">
        <x:f>K88*M88</x:f>
        <x:v>70</x:v>
      </x:c>
      <x:c r="P88" s="14" t="n">
        <x:f>O88*(1-L88)</x:f>
        <x:v>66.5</x:v>
      </x:c>
      <x:c r="Q88" s="14" t="n">
        <x:f>K88*N88</x:f>
        <x:v>29</x:v>
      </x:c>
      <x:c r="R88" s="14" t="n">
        <x:f>P88-Q88</x:f>
        <x:v>37.5</x:v>
      </x:c>
      <x:c r="S88" s="16" t="n">
        <x:f>IFERROR(R88/P88,0)</x:f>
        <x:v>0.5639097744360902</x:v>
      </x:c>
    </x:row>
    <x:row r="89" ht="15" hidden="0" customHeight="1">
      <x:c r="A89" t="str">
        <x:f>Raw_Orders!A89</x:f>
        <x:v>O0088</x:v>
      </x:c>
      <x:c r="B89" s="10" t="n">
        <x:f>Raw_Orders!B89</x:f>
        <x:v>45755</x:v>
      </x:c>
      <x:c r="C89" t="str">
        <x:f>Raw_Orders!C89</x:f>
        <x:v>C033</x:v>
      </x:c>
      <x:c r="D89" t="str">
        <x:f>INDEX(Customers!$B$2:$B$81,MATCH(C89,Customers!$A$2:$A$81,0))</x:f>
        <x:v>Customer 33</x:v>
      </x:c>
      <x:c r="E89" t="str">
        <x:f>INDEX(Customers!$C$2:$C$81,MATCH(C89,Customers!$A$2:$A$81,0))</x:f>
        <x:v>Small Business</x:v>
      </x:c>
      <x:c r="F89" t="str">
        <x:f>INDEX(Customers!$D$2:$D$81,MATCH(C89,Customers!$A$2:$A$81,0))</x:f>
        <x:v>North</x:v>
      </x:c>
      <x:c r="G89" t="str">
        <x:f>Raw_Orders!D89</x:f>
        <x:v>P001</x:v>
      </x:c>
      <x:c r="H89" t="str">
        <x:f>INDEX(Products!$B$2:$B$13,MATCH(G89,Products!$A$2:$A$13,0))</x:f>
        <x:v>Wireless Headset</x:v>
      </x:c>
      <x:c r="I89" t="str">
        <x:f>INDEX(Products!$C$2:$C$13,MATCH(G89,Products!$A$2:$A$13,0))</x:f>
        <x:v>Accessories</x:v>
      </x:c>
      <x:c r="J89" t="str">
        <x:f>Raw_Orders!G89</x:f>
        <x:v>Online</x:v>
      </x:c>
      <x:c r="K89" t="n">
        <x:f>Raw_Orders!E89</x:f>
        <x:v>6</x:v>
      </x:c>
      <x:c r="L89" s="12" t="n">
        <x:f>Raw_Orders!F89</x:f>
        <x:v>0.05</x:v>
      </x:c>
      <x:c r="M89" s="14" t="n">
        <x:f>INDEX(Products!$D$2:$D$13,MATCH(G89,Products!$A$2:$A$13,0))</x:f>
        <x:v>85</x:v>
      </x:c>
      <x:c r="N89" s="14" t="n">
        <x:f>INDEX(Products!$E$2:$E$13,MATCH(G89,Products!$A$2:$A$13,0))</x:f>
        <x:v>42</x:v>
      </x:c>
      <x:c r="O89" s="14" t="n">
        <x:f>K89*M89</x:f>
        <x:v>510</x:v>
      </x:c>
      <x:c r="P89" s="14" t="n">
        <x:f>O89*(1-L89)</x:f>
        <x:v>484.5</x:v>
      </x:c>
      <x:c r="Q89" s="14" t="n">
        <x:f>K89*N89</x:f>
        <x:v>252</x:v>
      </x:c>
      <x:c r="R89" s="14" t="n">
        <x:f>P89-Q89</x:f>
        <x:v>232.5</x:v>
      </x:c>
      <x:c r="S89" s="16" t="n">
        <x:f>IFERROR(R89/P89,0)</x:f>
        <x:v>0.47987616099071206</x:v>
      </x:c>
    </x:row>
    <x:row r="90" ht="15" hidden="0" customHeight="1">
      <x:c r="A90" t="str">
        <x:f>Raw_Orders!A90</x:f>
        <x:v>O0089</x:v>
      </x:c>
      <x:c r="B90" s="10" t="n">
        <x:f>Raw_Orders!B90</x:f>
        <x:v>45924</x:v>
      </x:c>
      <x:c r="C90" t="str">
        <x:f>Raw_Orders!C90</x:f>
        <x:v>C069</x:v>
      </x:c>
      <x:c r="D90" t="str">
        <x:f>INDEX(Customers!$B$2:$B$81,MATCH(C90,Customers!$A$2:$A$81,0))</x:f>
        <x:v>Customer 69</x:v>
      </x:c>
      <x:c r="E90" t="str">
        <x:f>INDEX(Customers!$C$2:$C$81,MATCH(C90,Customers!$A$2:$A$81,0))</x:f>
        <x:v>Small Business</x:v>
      </x:c>
      <x:c r="F90" t="str">
        <x:f>INDEX(Customers!$D$2:$D$81,MATCH(C90,Customers!$A$2:$A$81,0))</x:f>
        <x:v>North</x:v>
      </x:c>
      <x:c r="G90" t="str">
        <x:f>Raw_Orders!D90</x:f>
        <x:v>P011</x:v>
      </x:c>
      <x:c r="H90" t="str">
        <x:f>INDEX(Products!$B$2:$B$13,MATCH(G90,Products!$A$2:$A$13,0))</x:f>
        <x:v>External HDD</x:v>
      </x:c>
      <x:c r="I90" t="str">
        <x:f>INDEX(Products!$C$2:$C$13,MATCH(G90,Products!$A$2:$A$13,0))</x:f>
        <x:v>Storage</x:v>
      </x:c>
      <x:c r="J90" t="str">
        <x:f>Raw_Orders!G90</x:f>
        <x:v>Partner</x:v>
      </x:c>
      <x:c r="K90" t="n">
        <x:f>Raw_Orders!E90</x:f>
        <x:v>6</x:v>
      </x:c>
      <x:c r="L90" s="12" t="n">
        <x:f>Raw_Orders!F90</x:f>
        <x:v>0.15</x:v>
      </x:c>
      <x:c r="M90" s="14" t="n">
        <x:f>INDEX(Products!$D$2:$D$13,MATCH(G90,Products!$A$2:$A$13,0))</x:f>
        <x:v>120</x:v>
      </x:c>
      <x:c r="N90" s="14" t="n">
        <x:f>INDEX(Products!$E$2:$E$13,MATCH(G90,Products!$A$2:$A$13,0))</x:f>
        <x:v>72</x:v>
      </x:c>
      <x:c r="O90" s="14" t="n">
        <x:f>K90*M90</x:f>
        <x:v>720</x:v>
      </x:c>
      <x:c r="P90" s="14" t="n">
        <x:f>O90*(1-L90)</x:f>
        <x:v>612</x:v>
      </x:c>
      <x:c r="Q90" s="14" t="n">
        <x:f>K90*N90</x:f>
        <x:v>432</x:v>
      </x:c>
      <x:c r="R90" s="14" t="n">
        <x:f>P90-Q90</x:f>
        <x:v>180</x:v>
      </x:c>
      <x:c r="S90" s="16" t="n">
        <x:f>IFERROR(R90/P90,0)</x:f>
        <x:v>0.29411764705882354</x:v>
      </x:c>
    </x:row>
    <x:row r="91" ht="15" hidden="0" customHeight="1">
      <x:c r="A91" t="str">
        <x:f>Raw_Orders!A91</x:f>
        <x:v>O0090</x:v>
      </x:c>
      <x:c r="B91" s="10" t="n">
        <x:f>Raw_Orders!B91</x:f>
        <x:v>46001</x:v>
      </x:c>
      <x:c r="C91" t="str">
        <x:f>Raw_Orders!C91</x:f>
        <x:v>C026</x:v>
      </x:c>
      <x:c r="D91" t="str">
        <x:f>INDEX(Customers!$B$2:$B$81,MATCH(C91,Customers!$A$2:$A$81,0))</x:f>
        <x:v>Customer 26</x:v>
      </x:c>
      <x:c r="E91" t="str">
        <x:f>INDEX(Customers!$C$2:$C$81,MATCH(C91,Customers!$A$2:$A$81,0))</x:f>
        <x:v>Corporate</x:v>
      </x:c>
      <x:c r="F91" t="str">
        <x:f>INDEX(Customers!$D$2:$D$81,MATCH(C91,Customers!$A$2:$A$81,0))</x:f>
        <x:v>South</x:v>
      </x:c>
      <x:c r="G91" t="str">
        <x:f>Raw_Orders!D91</x:f>
        <x:v>P006</x:v>
      </x:c>
      <x:c r="H91" t="str">
        <x:f>INDEX(Products!$B$2:$B$13,MATCH(G91,Products!$A$2:$A$13,0))</x:f>
        <x:v>Laptop Stand</x:v>
      </x:c>
      <x:c r="I91" t="str">
        <x:f>INDEX(Products!$C$2:$C$13,MATCH(G91,Products!$A$2:$A$13,0))</x:f>
        <x:v>Office</x:v>
      </x:c>
      <x:c r="J91" t="str">
        <x:f>Raw_Orders!G91</x:f>
        <x:v>Partner</x:v>
      </x:c>
      <x:c r="K91" t="n">
        <x:f>Raw_Orders!E91</x:f>
        <x:v>4</x:v>
      </x:c>
      <x:c r="L91" s="12" t="n">
        <x:f>Raw_Orders!F91</x:f>
        <x:v>0</x:v>
      </x:c>
      <x:c r="M91" s="14" t="n">
        <x:f>INDEX(Products!$D$2:$D$13,MATCH(G91,Products!$A$2:$A$13,0))</x:f>
        <x:v>55</x:v>
      </x:c>
      <x:c r="N91" s="14" t="n">
        <x:f>INDEX(Products!$E$2:$E$13,MATCH(G91,Products!$A$2:$A$13,0))</x:f>
        <x:v>24</x:v>
      </x:c>
      <x:c r="O91" s="14" t="n">
        <x:f>K91*M91</x:f>
        <x:v>220</x:v>
      </x:c>
      <x:c r="P91" s="14" t="n">
        <x:f>O91*(1-L91)</x:f>
        <x:v>220</x:v>
      </x:c>
      <x:c r="Q91" s="14" t="n">
        <x:f>K91*N91</x:f>
        <x:v>96</x:v>
      </x:c>
      <x:c r="R91" s="14" t="n">
        <x:f>P91-Q91</x:f>
        <x:v>124</x:v>
      </x:c>
      <x:c r="S91" s="16" t="n">
        <x:f>IFERROR(R91/P91,0)</x:f>
        <x:v>0.5636363636363636</x:v>
      </x:c>
    </x:row>
    <x:row r="92" ht="15" hidden="0" customHeight="1">
      <x:c r="A92" t="str">
        <x:f>Raw_Orders!A92</x:f>
        <x:v>O0091</x:v>
      </x:c>
      <x:c r="B92" s="10" t="n">
        <x:f>Raw_Orders!B92</x:f>
        <x:v>45827</x:v>
      </x:c>
      <x:c r="C92" t="str">
        <x:f>Raw_Orders!C92</x:f>
        <x:v>C080</x:v>
      </x:c>
      <x:c r="D92" t="str">
        <x:f>INDEX(Customers!$B$2:$B$81,MATCH(C92,Customers!$A$2:$A$81,0))</x:f>
        <x:v>Customer 80</x:v>
      </x:c>
      <x:c r="E92" t="str">
        <x:f>INDEX(Customers!$C$2:$C$81,MATCH(C92,Customers!$A$2:$A$81,0))</x:f>
        <x:v>Corporate</x:v>
      </x:c>
      <x:c r="F92" t="str">
        <x:f>INDEX(Customers!$D$2:$D$81,MATCH(C92,Customers!$A$2:$A$81,0))</x:f>
        <x:v>West</x:v>
      </x:c>
      <x:c r="G92" t="str">
        <x:f>Raw_Orders!D92</x:f>
        <x:v>P006</x:v>
      </x:c>
      <x:c r="H92" t="str">
        <x:f>INDEX(Products!$B$2:$B$13,MATCH(G92,Products!$A$2:$A$13,0))</x:f>
        <x:v>Laptop Stand</x:v>
      </x:c>
      <x:c r="I92" t="str">
        <x:f>INDEX(Products!$C$2:$C$13,MATCH(G92,Products!$A$2:$A$13,0))</x:f>
        <x:v>Office</x:v>
      </x:c>
      <x:c r="J92" t="str">
        <x:f>Raw_Orders!G92</x:f>
        <x:v>Partner</x:v>
      </x:c>
      <x:c r="K92" t="n">
        <x:f>Raw_Orders!E92</x:f>
        <x:v>6</x:v>
      </x:c>
      <x:c r="L92" s="12" t="n">
        <x:f>Raw_Orders!F92</x:f>
        <x:v>0</x:v>
      </x:c>
      <x:c r="M92" s="14" t="n">
        <x:f>INDEX(Products!$D$2:$D$13,MATCH(G92,Products!$A$2:$A$13,0))</x:f>
        <x:v>55</x:v>
      </x:c>
      <x:c r="N92" s="14" t="n">
        <x:f>INDEX(Products!$E$2:$E$13,MATCH(G92,Products!$A$2:$A$13,0))</x:f>
        <x:v>24</x:v>
      </x:c>
      <x:c r="O92" s="14" t="n">
        <x:f>K92*M92</x:f>
        <x:v>330</x:v>
      </x:c>
      <x:c r="P92" s="14" t="n">
        <x:f>O92*(1-L92)</x:f>
        <x:v>330</x:v>
      </x:c>
      <x:c r="Q92" s="14" t="n">
        <x:f>K92*N92</x:f>
        <x:v>144</x:v>
      </x:c>
      <x:c r="R92" s="14" t="n">
        <x:f>P92-Q92</x:f>
        <x:v>186</x:v>
      </x:c>
      <x:c r="S92" s="16" t="n">
        <x:f>IFERROR(R92/P92,0)</x:f>
        <x:v>0.5636363636363636</x:v>
      </x:c>
    </x:row>
    <x:row r="93" ht="15" hidden="0" customHeight="1">
      <x:c r="A93" t="str">
        <x:f>Raw_Orders!A93</x:f>
        <x:v>O0092</x:v>
      </x:c>
      <x:c r="B93" s="10" t="n">
        <x:f>Raw_Orders!B93</x:f>
        <x:v>45811</x:v>
      </x:c>
      <x:c r="C93" t="str">
        <x:f>Raw_Orders!C93</x:f>
        <x:v>C065</x:v>
      </x:c>
      <x:c r="D93" t="str">
        <x:f>INDEX(Customers!$B$2:$B$81,MATCH(C93,Customers!$A$2:$A$81,0))</x:f>
        <x:v>Customer 65</x:v>
      </x:c>
      <x:c r="E93" t="str">
        <x:f>INDEX(Customers!$C$2:$C$81,MATCH(C93,Customers!$A$2:$A$81,0))</x:f>
        <x:v>Corporate</x:v>
      </x:c>
      <x:c r="F93" t="str">
        <x:f>INDEX(Customers!$D$2:$D$81,MATCH(C93,Customers!$A$2:$A$81,0))</x:f>
        <x:v>North</x:v>
      </x:c>
      <x:c r="G93" t="str">
        <x:f>Raw_Orders!D93</x:f>
        <x:v>P005</x:v>
      </x:c>
      <x:c r="H93" t="str">
        <x:f>INDEX(Products!$B$2:$B$13,MATCH(G93,Products!$A$2:$A$13,0))</x:f>
        <x:v>27in Monitor</x:v>
      </x:c>
      <x:c r="I93" t="str">
        <x:f>INDEX(Products!$C$2:$C$13,MATCH(G93,Products!$A$2:$A$13,0))</x:f>
        <x:v>Displays</x:v>
      </x:c>
      <x:c r="J93" t="str">
        <x:f>Raw_Orders!G93</x:f>
        <x:v>Retail</x:v>
      </x:c>
      <x:c r="K93" t="n">
        <x:f>Raw_Orders!E93</x:f>
        <x:v>6</x:v>
      </x:c>
      <x:c r="L93" s="12" t="n">
        <x:f>Raw_Orders!F93</x:f>
        <x:v>0.05</x:v>
      </x:c>
      <x:c r="M93" s="14" t="n">
        <x:f>INDEX(Products!$D$2:$D$13,MATCH(G93,Products!$A$2:$A$13,0))</x:f>
        <x:v>310</x:v>
      </x:c>
      <x:c r="N93" s="14" t="n">
        <x:f>INDEX(Products!$E$2:$E$13,MATCH(G93,Products!$A$2:$A$13,0))</x:f>
        <x:v>205</x:v>
      </x:c>
      <x:c r="O93" s="14" t="n">
        <x:f>K93*M93</x:f>
        <x:v>1860</x:v>
      </x:c>
      <x:c r="P93" s="14" t="n">
        <x:f>O93*(1-L93)</x:f>
        <x:v>1767</x:v>
      </x:c>
      <x:c r="Q93" s="14" t="n">
        <x:f>K93*N93</x:f>
        <x:v>1230</x:v>
      </x:c>
      <x:c r="R93" s="14" t="n">
        <x:f>P93-Q93</x:f>
        <x:v>537</x:v>
      </x:c>
      <x:c r="S93" s="16" t="n">
        <x:f>IFERROR(R93/P93,0)</x:f>
        <x:v>0.30390492359932086</x:v>
      </x:c>
    </x:row>
    <x:row r="94" ht="15" hidden="0" customHeight="1">
      <x:c r="A94" t="str">
        <x:f>Raw_Orders!A94</x:f>
        <x:v>O0093</x:v>
      </x:c>
      <x:c r="B94" s="10" t="n">
        <x:f>Raw_Orders!B94</x:f>
        <x:v>45864</x:v>
      </x:c>
      <x:c r="C94" t="str">
        <x:f>Raw_Orders!C94</x:f>
        <x:v>C038</x:v>
      </x:c>
      <x:c r="D94" t="str">
        <x:f>INDEX(Customers!$B$2:$B$81,MATCH(C94,Customers!$A$2:$A$81,0))</x:f>
        <x:v>Customer 38</x:v>
      </x:c>
      <x:c r="E94" t="str">
        <x:f>INDEX(Customers!$C$2:$C$81,MATCH(C94,Customers!$A$2:$A$81,0))</x:f>
        <x:v>Corporate</x:v>
      </x:c>
      <x:c r="F94" t="str">
        <x:f>INDEX(Customers!$D$2:$D$81,MATCH(C94,Customers!$A$2:$A$81,0))</x:f>
        <x:v>South</x:v>
      </x:c>
      <x:c r="G94" t="str">
        <x:f>Raw_Orders!D94</x:f>
        <x:v>P009</x:v>
      </x:c>
      <x:c r="H94" t="str">
        <x:f>INDEX(Products!$B$2:$B$13,MATCH(G94,Products!$A$2:$A$13,0))</x:f>
        <x:v>Desk Lamp</x:v>
      </x:c>
      <x:c r="I94" t="str">
        <x:f>INDEX(Products!$C$2:$C$13,MATCH(G94,Products!$A$2:$A$13,0))</x:f>
        <x:v>Office</x:v>
      </x:c>
      <x:c r="J94" t="str">
        <x:f>Raw_Orders!G94</x:f>
        <x:v>Retail</x:v>
      </x:c>
      <x:c r="K94" t="n">
        <x:f>Raw_Orders!E94</x:f>
        <x:v>2</x:v>
      </x:c>
      <x:c r="L94" s="12" t="n">
        <x:f>Raw_Orders!F94</x:f>
        <x:v>0</x:v>
      </x:c>
      <x:c r="M94" s="14" t="n">
        <x:f>INDEX(Products!$D$2:$D$13,MATCH(G94,Products!$A$2:$A$13,0))</x:f>
        <x:v>70</x:v>
      </x:c>
      <x:c r="N94" s="14" t="n">
        <x:f>INDEX(Products!$E$2:$E$13,MATCH(G94,Products!$A$2:$A$13,0))</x:f>
        <x:v>29</x:v>
      </x:c>
      <x:c r="O94" s="14" t="n">
        <x:f>K94*M94</x:f>
        <x:v>140</x:v>
      </x:c>
      <x:c r="P94" s="14" t="n">
        <x:f>O94*(1-L94)</x:f>
        <x:v>140</x:v>
      </x:c>
      <x:c r="Q94" s="14" t="n">
        <x:f>K94*N94</x:f>
        <x:v>58</x:v>
      </x:c>
      <x:c r="R94" s="14" t="n">
        <x:f>P94-Q94</x:f>
        <x:v>82</x:v>
      </x:c>
      <x:c r="S94" s="16" t="n">
        <x:f>IFERROR(R94/P94,0)</x:f>
        <x:v>0.5857142857142857</x:v>
      </x:c>
    </x:row>
    <x:row r="95" ht="15" hidden="0" customHeight="1">
      <x:c r="A95" t="str">
        <x:f>Raw_Orders!A95</x:f>
        <x:v>O0094</x:v>
      </x:c>
      <x:c r="B95" s="10" t="n">
        <x:f>Raw_Orders!B95</x:f>
        <x:v>45998</x:v>
      </x:c>
      <x:c r="C95" t="str">
        <x:f>Raw_Orders!C95</x:f>
        <x:v>C049</x:v>
      </x:c>
      <x:c r="D95" t="str">
        <x:f>INDEX(Customers!$B$2:$B$81,MATCH(C95,Customers!$A$2:$A$81,0))</x:f>
        <x:v>Customer 49</x:v>
      </x:c>
      <x:c r="E95" t="str">
        <x:f>INDEX(Customers!$C$2:$C$81,MATCH(C95,Customers!$A$2:$A$81,0))</x:f>
        <x:v>Consumer</x:v>
      </x:c>
      <x:c r="F95" t="str">
        <x:f>INDEX(Customers!$D$2:$D$81,MATCH(C95,Customers!$A$2:$A$81,0))</x:f>
        <x:v>North</x:v>
      </x:c>
      <x:c r="G95" t="str">
        <x:f>Raw_Orders!D95</x:f>
        <x:v>P011</x:v>
      </x:c>
      <x:c r="H95" t="str">
        <x:f>INDEX(Products!$B$2:$B$13,MATCH(G95,Products!$A$2:$A$13,0))</x:f>
        <x:v>External HDD</x:v>
      </x:c>
      <x:c r="I95" t="str">
        <x:f>INDEX(Products!$C$2:$C$13,MATCH(G95,Products!$A$2:$A$13,0))</x:f>
        <x:v>Storage</x:v>
      </x:c>
      <x:c r="J95" t="str">
        <x:f>Raw_Orders!G95</x:f>
        <x:v>Partner</x:v>
      </x:c>
      <x:c r="K95" t="n">
        <x:f>Raw_Orders!E95</x:f>
        <x:v>6</x:v>
      </x:c>
      <x:c r="L95" s="12" t="n">
        <x:f>Raw_Orders!F95</x:f>
        <x:v>0</x:v>
      </x:c>
      <x:c r="M95" s="14" t="n">
        <x:f>INDEX(Products!$D$2:$D$13,MATCH(G95,Products!$A$2:$A$13,0))</x:f>
        <x:v>120</x:v>
      </x:c>
      <x:c r="N95" s="14" t="n">
        <x:f>INDEX(Products!$E$2:$E$13,MATCH(G95,Products!$A$2:$A$13,0))</x:f>
        <x:v>72</x:v>
      </x:c>
      <x:c r="O95" s="14" t="n">
        <x:f>K95*M95</x:f>
        <x:v>720</x:v>
      </x:c>
      <x:c r="P95" s="14" t="n">
        <x:f>O95*(1-L95)</x:f>
        <x:v>720</x:v>
      </x:c>
      <x:c r="Q95" s="14" t="n">
        <x:f>K95*N95</x:f>
        <x:v>432</x:v>
      </x:c>
      <x:c r="R95" s="14" t="n">
        <x:f>P95-Q95</x:f>
        <x:v>288</x:v>
      </x:c>
      <x:c r="S95" s="16" t="n">
        <x:f>IFERROR(R95/P95,0)</x:f>
        <x:v>0.4</x:v>
      </x:c>
    </x:row>
    <x:row r="96" ht="15" hidden="0" customHeight="1">
      <x:c r="A96" t="str">
        <x:f>Raw_Orders!A96</x:f>
        <x:v>O0095</x:v>
      </x:c>
      <x:c r="B96" s="10" t="n">
        <x:f>Raw_Orders!B96</x:f>
        <x:v>45949</x:v>
      </x:c>
      <x:c r="C96" t="str">
        <x:f>Raw_Orders!C96</x:f>
        <x:v>C039</x:v>
      </x:c>
      <x:c r="D96" t="str">
        <x:f>INDEX(Customers!$B$2:$B$81,MATCH(C96,Customers!$A$2:$A$81,0))</x:f>
        <x:v>Customer 39</x:v>
      </x:c>
      <x:c r="E96" t="str">
        <x:f>INDEX(Customers!$C$2:$C$81,MATCH(C96,Customers!$A$2:$A$81,0))</x:f>
        <x:v>Small Business</x:v>
      </x:c>
      <x:c r="F96" t="str">
        <x:f>INDEX(Customers!$D$2:$D$81,MATCH(C96,Customers!$A$2:$A$81,0))</x:f>
        <x:v>East</x:v>
      </x:c>
      <x:c r="G96" t="str">
        <x:f>Raw_Orders!D96</x:f>
        <x:v>P007</x:v>
      </x:c>
      <x:c r="H96" t="str">
        <x:f>INDEX(Products!$B$2:$B$13,MATCH(G96,Products!$A$2:$A$13,0))</x:f>
        <x:v>Ergonomic Chair</x:v>
      </x:c>
      <x:c r="I96" t="str">
        <x:f>INDEX(Products!$C$2:$C$13,MATCH(G96,Products!$A$2:$A$13,0))</x:f>
        <x:v>Office</x:v>
      </x:c>
      <x:c r="J96" t="str">
        <x:f>Raw_Orders!G96</x:f>
        <x:v>Retail</x:v>
      </x:c>
      <x:c r="K96" t="n">
        <x:f>Raw_Orders!E96</x:f>
        <x:v>5</x:v>
      </x:c>
      <x:c r="L96" s="12" t="n">
        <x:f>Raw_Orders!F96</x:f>
        <x:v>0</x:v>
      </x:c>
      <x:c r="M96" s="14" t="n">
        <x:f>INDEX(Products!$D$2:$D$13,MATCH(G96,Products!$A$2:$A$13,0))</x:f>
        <x:v>390</x:v>
      </x:c>
      <x:c r="N96" s="14" t="n">
        <x:f>INDEX(Products!$E$2:$E$13,MATCH(G96,Products!$A$2:$A$13,0))</x:f>
        <x:v>245</x:v>
      </x:c>
      <x:c r="O96" s="14" t="n">
        <x:f>K96*M96</x:f>
        <x:v>1950</x:v>
      </x:c>
      <x:c r="P96" s="14" t="n">
        <x:f>O96*(1-L96)</x:f>
        <x:v>1950</x:v>
      </x:c>
      <x:c r="Q96" s="14" t="n">
        <x:f>K96*N96</x:f>
        <x:v>1225</x:v>
      </x:c>
      <x:c r="R96" s="14" t="n">
        <x:f>P96-Q96</x:f>
        <x:v>725</x:v>
      </x:c>
      <x:c r="S96" s="16" t="n">
        <x:f>IFERROR(R96/P96,0)</x:f>
        <x:v>0.3717948717948718</x:v>
      </x:c>
    </x:row>
    <x:row r="97" ht="15" hidden="0" customHeight="1">
      <x:c r="A97" t="str">
        <x:f>Raw_Orders!A97</x:f>
        <x:v>O0096</x:v>
      </x:c>
      <x:c r="B97" s="10" t="n">
        <x:f>Raw_Orders!B97</x:f>
        <x:v>45804</x:v>
      </x:c>
      <x:c r="C97" t="str">
        <x:f>Raw_Orders!C97</x:f>
        <x:v>C027</x:v>
      </x:c>
      <x:c r="D97" t="str">
        <x:f>INDEX(Customers!$B$2:$B$81,MATCH(C97,Customers!$A$2:$A$81,0))</x:f>
        <x:v>Customer 27</x:v>
      </x:c>
      <x:c r="E97" t="str">
        <x:f>INDEX(Customers!$C$2:$C$81,MATCH(C97,Customers!$A$2:$A$81,0))</x:f>
        <x:v>Small Business</x:v>
      </x:c>
      <x:c r="F97" t="str">
        <x:f>INDEX(Customers!$D$2:$D$81,MATCH(C97,Customers!$A$2:$A$81,0))</x:f>
        <x:v>East</x:v>
      </x:c>
      <x:c r="G97" t="str">
        <x:f>Raw_Orders!D97</x:f>
        <x:v>P007</x:v>
      </x:c>
      <x:c r="H97" t="str">
        <x:f>INDEX(Products!$B$2:$B$13,MATCH(G97,Products!$A$2:$A$13,0))</x:f>
        <x:v>Ergonomic Chair</x:v>
      </x:c>
      <x:c r="I97" t="str">
        <x:f>INDEX(Products!$C$2:$C$13,MATCH(G97,Products!$A$2:$A$13,0))</x:f>
        <x:v>Office</x:v>
      </x:c>
      <x:c r="J97" t="str">
        <x:f>Raw_Orders!G97</x:f>
        <x:v>Partner</x:v>
      </x:c>
      <x:c r="K97" t="n">
        <x:f>Raw_Orders!E97</x:f>
        <x:v>5</x:v>
      </x:c>
      <x:c r="L97" s="12" t="n">
        <x:f>Raw_Orders!F97</x:f>
        <x:v>0.1</x:v>
      </x:c>
      <x:c r="M97" s="14" t="n">
        <x:f>INDEX(Products!$D$2:$D$13,MATCH(G97,Products!$A$2:$A$13,0))</x:f>
        <x:v>390</x:v>
      </x:c>
      <x:c r="N97" s="14" t="n">
        <x:f>INDEX(Products!$E$2:$E$13,MATCH(G97,Products!$A$2:$A$13,0))</x:f>
        <x:v>245</x:v>
      </x:c>
      <x:c r="O97" s="14" t="n">
        <x:f>K97*M97</x:f>
        <x:v>1950</x:v>
      </x:c>
      <x:c r="P97" s="14" t="n">
        <x:f>O97*(1-L97)</x:f>
        <x:v>1755</x:v>
      </x:c>
      <x:c r="Q97" s="14" t="n">
        <x:f>K97*N97</x:f>
        <x:v>1225</x:v>
      </x:c>
      <x:c r="R97" s="14" t="n">
        <x:f>P97-Q97</x:f>
        <x:v>530</x:v>
      </x:c>
      <x:c r="S97" s="16" t="n">
        <x:f>IFERROR(R97/P97,0)</x:f>
        <x:v>0.301994301994302</x:v>
      </x:c>
    </x:row>
    <x:row r="98" ht="15" hidden="0" customHeight="1">
      <x:c r="A98" t="str">
        <x:f>Raw_Orders!A98</x:f>
        <x:v>O0097</x:v>
      </x:c>
      <x:c r="B98" s="10" t="n">
        <x:f>Raw_Orders!B98</x:f>
        <x:v>45822</x:v>
      </x:c>
      <x:c r="C98" t="str">
        <x:f>Raw_Orders!C98</x:f>
        <x:v>C060</x:v>
      </x:c>
      <x:c r="D98" t="str">
        <x:f>INDEX(Customers!$B$2:$B$81,MATCH(C98,Customers!$A$2:$A$81,0))</x:f>
        <x:v>Customer 60</x:v>
      </x:c>
      <x:c r="E98" t="str">
        <x:f>INDEX(Customers!$C$2:$C$81,MATCH(C98,Customers!$A$2:$A$81,0))</x:f>
        <x:v>Small Business</x:v>
      </x:c>
      <x:c r="F98" t="str">
        <x:f>INDEX(Customers!$D$2:$D$81,MATCH(C98,Customers!$A$2:$A$81,0))</x:f>
        <x:v>West</x:v>
      </x:c>
      <x:c r="G98" t="str">
        <x:f>Raw_Orders!D98</x:f>
        <x:v>P008</x:v>
      </x:c>
      <x:c r="H98" t="str">
        <x:f>INDEX(Products!$B$2:$B$13,MATCH(G98,Products!$A$2:$A$13,0))</x:f>
        <x:v>Webcam</x:v>
      </x:c>
      <x:c r="I98" t="str">
        <x:f>INDEX(Products!$C$2:$C$13,MATCH(G98,Products!$A$2:$A$13,0))</x:f>
        <x:v>Accessories</x:v>
      </x:c>
      <x:c r="J98" t="str">
        <x:f>Raw_Orders!G98</x:f>
        <x:v>Online</x:v>
      </x:c>
      <x:c r="K98" t="n">
        <x:f>Raw_Orders!E98</x:f>
        <x:v>4</x:v>
      </x:c>
      <x:c r="L98" s="12" t="n">
        <x:f>Raw_Orders!F98</x:f>
        <x:v>0.15</x:v>
      </x:c>
      <x:c r="M98" s="14" t="n">
        <x:f>INDEX(Products!$D$2:$D$13,MATCH(G98,Products!$A$2:$A$13,0))</x:f>
        <x:v>95</x:v>
      </x:c>
      <x:c r="N98" s="14" t="n">
        <x:f>INDEX(Products!$E$2:$E$13,MATCH(G98,Products!$A$2:$A$13,0))</x:f>
        <x:v>49</x:v>
      </x:c>
      <x:c r="O98" s="14" t="n">
        <x:f>K98*M98</x:f>
        <x:v>380</x:v>
      </x:c>
      <x:c r="P98" s="14" t="n">
        <x:f>O98*(1-L98)</x:f>
        <x:v>323</x:v>
      </x:c>
      <x:c r="Q98" s="14" t="n">
        <x:f>K98*N98</x:f>
        <x:v>196</x:v>
      </x:c>
      <x:c r="R98" s="14" t="n">
        <x:f>P98-Q98</x:f>
        <x:v>127</x:v>
      </x:c>
      <x:c r="S98" s="16" t="n">
        <x:f>IFERROR(R98/P98,0)</x:f>
        <x:v>0.3931888544891641</x:v>
      </x:c>
    </x:row>
    <x:row r="99" ht="15" hidden="0" customHeight="1">
      <x:c r="A99" t="str">
        <x:f>Raw_Orders!A99</x:f>
        <x:v>O0098</x:v>
      </x:c>
      <x:c r="B99" s="10" t="n">
        <x:f>Raw_Orders!B99</x:f>
        <x:v>45919</x:v>
      </x:c>
      <x:c r="C99" t="str">
        <x:f>Raw_Orders!C99</x:f>
        <x:v>C061</x:v>
      </x:c>
      <x:c r="D99" t="str">
        <x:f>INDEX(Customers!$B$2:$B$81,MATCH(C99,Customers!$A$2:$A$81,0))</x:f>
        <x:v>Customer 61</x:v>
      </x:c>
      <x:c r="E99" t="str">
        <x:f>INDEX(Customers!$C$2:$C$81,MATCH(C99,Customers!$A$2:$A$81,0))</x:f>
        <x:v>Consumer</x:v>
      </x:c>
      <x:c r="F99" t="str">
        <x:f>INDEX(Customers!$D$2:$D$81,MATCH(C99,Customers!$A$2:$A$81,0))</x:f>
        <x:v>North</x:v>
      </x:c>
      <x:c r="G99" t="str">
        <x:f>Raw_Orders!D99</x:f>
        <x:v>P012</x:v>
      </x:c>
      <x:c r="H99" t="str">
        <x:f>INDEX(Products!$B$2:$B$13,MATCH(G99,Products!$A$2:$A$13,0))</x:f>
        <x:v>Docking Station</x:v>
      </x:c>
      <x:c r="I99" t="str">
        <x:f>INDEX(Products!$C$2:$C$13,MATCH(G99,Products!$A$2:$A$13,0))</x:f>
        <x:v>Accessories</x:v>
      </x:c>
      <x:c r="J99" t="str">
        <x:f>Raw_Orders!G99</x:f>
        <x:v>Online</x:v>
      </x:c>
      <x:c r="K99" t="n">
        <x:f>Raw_Orders!E99</x:f>
        <x:v>2</x:v>
      </x:c>
      <x:c r="L99" s="12" t="n">
        <x:f>Raw_Orders!F99</x:f>
        <x:v>0.15</x:v>
      </x:c>
      <x:c r="M99" s="14" t="n">
        <x:f>INDEX(Products!$D$2:$D$13,MATCH(G99,Products!$A$2:$A$13,0))</x:f>
        <x:v>180</x:v>
      </x:c>
      <x:c r="N99" s="14" t="n">
        <x:f>INDEX(Products!$E$2:$E$13,MATCH(G99,Products!$A$2:$A$13,0))</x:f>
        <x:v>104</x:v>
      </x:c>
      <x:c r="O99" s="14" t="n">
        <x:f>K99*M99</x:f>
        <x:v>360</x:v>
      </x:c>
      <x:c r="P99" s="14" t="n">
        <x:f>O99*(1-L99)</x:f>
        <x:v>306</x:v>
      </x:c>
      <x:c r="Q99" s="14" t="n">
        <x:f>K99*N99</x:f>
        <x:v>208</x:v>
      </x:c>
      <x:c r="R99" s="14" t="n">
        <x:f>P99-Q99</x:f>
        <x:v>98</x:v>
      </x:c>
      <x:c r="S99" s="16" t="n">
        <x:f>IFERROR(R99/P99,0)</x:f>
        <x:v>0.3202614379084967</x:v>
      </x:c>
    </x:row>
    <x:row r="100" ht="15" hidden="0" customHeight="1">
      <x:c r="A100" t="str">
        <x:f>Raw_Orders!A100</x:f>
        <x:v>O0099</x:v>
      </x:c>
      <x:c r="B100" s="10" t="n">
        <x:f>Raw_Orders!B100</x:f>
        <x:v>45803</x:v>
      </x:c>
      <x:c r="C100" t="str">
        <x:f>Raw_Orders!C100</x:f>
        <x:v>C066</x:v>
      </x:c>
      <x:c r="D100" t="str">
        <x:f>INDEX(Customers!$B$2:$B$81,MATCH(C100,Customers!$A$2:$A$81,0))</x:f>
        <x:v>Customer 66</x:v>
      </x:c>
      <x:c r="E100" t="str">
        <x:f>INDEX(Customers!$C$2:$C$81,MATCH(C100,Customers!$A$2:$A$81,0))</x:f>
        <x:v>Small Business</x:v>
      </x:c>
      <x:c r="F100" t="str">
        <x:f>INDEX(Customers!$D$2:$D$81,MATCH(C100,Customers!$A$2:$A$81,0))</x:f>
        <x:v>South</x:v>
      </x:c>
      <x:c r="G100" t="str">
        <x:f>Raw_Orders!D100</x:f>
        <x:v>P011</x:v>
      </x:c>
      <x:c r="H100" t="str">
        <x:f>INDEX(Products!$B$2:$B$13,MATCH(G100,Products!$A$2:$A$13,0))</x:f>
        <x:v>External HDD</x:v>
      </x:c>
      <x:c r="I100" t="str">
        <x:f>INDEX(Products!$C$2:$C$13,MATCH(G100,Products!$A$2:$A$13,0))</x:f>
        <x:v>Storage</x:v>
      </x:c>
      <x:c r="J100" t="str">
        <x:f>Raw_Orders!G100</x:f>
        <x:v>Retail</x:v>
      </x:c>
      <x:c r="K100" t="n">
        <x:f>Raw_Orders!E100</x:f>
        <x:v>6</x:v>
      </x:c>
      <x:c r="L100" s="12" t="n">
        <x:f>Raw_Orders!F100</x:f>
        <x:v>0.1</x:v>
      </x:c>
      <x:c r="M100" s="14" t="n">
        <x:f>INDEX(Products!$D$2:$D$13,MATCH(G100,Products!$A$2:$A$13,0))</x:f>
        <x:v>120</x:v>
      </x:c>
      <x:c r="N100" s="14" t="n">
        <x:f>INDEX(Products!$E$2:$E$13,MATCH(G100,Products!$A$2:$A$13,0))</x:f>
        <x:v>72</x:v>
      </x:c>
      <x:c r="O100" s="14" t="n">
        <x:f>K100*M100</x:f>
        <x:v>720</x:v>
      </x:c>
      <x:c r="P100" s="14" t="n">
        <x:f>O100*(1-L100)</x:f>
        <x:v>648</x:v>
      </x:c>
      <x:c r="Q100" s="14" t="n">
        <x:f>K100*N100</x:f>
        <x:v>432</x:v>
      </x:c>
      <x:c r="R100" s="14" t="n">
        <x:f>P100-Q100</x:f>
        <x:v>216</x:v>
      </x:c>
      <x:c r="S100" s="16" t="n">
        <x:f>IFERROR(R100/P100,0)</x:f>
        <x:v>0.3333333333333333</x:v>
      </x:c>
    </x:row>
    <x:row r="101" ht="15" hidden="0" customHeight="1">
      <x:c r="A101" t="str">
        <x:f>Raw_Orders!A101</x:f>
        <x:v>O0100</x:v>
      </x:c>
      <x:c r="B101" s="10" t="n">
        <x:f>Raw_Orders!B101</x:f>
        <x:v>45705</x:v>
      </x:c>
      <x:c r="C101" t="str">
        <x:f>Raw_Orders!C101</x:f>
        <x:v>C031</x:v>
      </x:c>
      <x:c r="D101" t="str">
        <x:f>INDEX(Customers!$B$2:$B$81,MATCH(C101,Customers!$A$2:$A$81,0))</x:f>
        <x:v>Customer 31</x:v>
      </x:c>
      <x:c r="E101" t="str">
        <x:f>INDEX(Customers!$C$2:$C$81,MATCH(C101,Customers!$A$2:$A$81,0))</x:f>
        <x:v>Consumer</x:v>
      </x:c>
      <x:c r="F101" t="str">
        <x:f>INDEX(Customers!$D$2:$D$81,MATCH(C101,Customers!$A$2:$A$81,0))</x:f>
        <x:v>East</x:v>
      </x:c>
      <x:c r="G101" t="str">
        <x:f>Raw_Orders!D101</x:f>
        <x:v>P011</x:v>
      </x:c>
      <x:c r="H101" t="str">
        <x:f>INDEX(Products!$B$2:$B$13,MATCH(G101,Products!$A$2:$A$13,0))</x:f>
        <x:v>External HDD</x:v>
      </x:c>
      <x:c r="I101" t="str">
        <x:f>INDEX(Products!$C$2:$C$13,MATCH(G101,Products!$A$2:$A$13,0))</x:f>
        <x:v>Storage</x:v>
      </x:c>
      <x:c r="J101" t="str">
        <x:f>Raw_Orders!G101</x:f>
        <x:v>Online</x:v>
      </x:c>
      <x:c r="K101" t="n">
        <x:f>Raw_Orders!E101</x:f>
        <x:v>3</x:v>
      </x:c>
      <x:c r="L101" s="12" t="n">
        <x:f>Raw_Orders!F101</x:f>
        <x:v>0</x:v>
      </x:c>
      <x:c r="M101" s="14" t="n">
        <x:f>INDEX(Products!$D$2:$D$13,MATCH(G101,Products!$A$2:$A$13,0))</x:f>
        <x:v>120</x:v>
      </x:c>
      <x:c r="N101" s="14" t="n">
        <x:f>INDEX(Products!$E$2:$E$13,MATCH(G101,Products!$A$2:$A$13,0))</x:f>
        <x:v>72</x:v>
      </x:c>
      <x:c r="O101" s="14" t="n">
        <x:f>K101*M101</x:f>
        <x:v>360</x:v>
      </x:c>
      <x:c r="P101" s="14" t="n">
        <x:f>O101*(1-L101)</x:f>
        <x:v>360</x:v>
      </x:c>
      <x:c r="Q101" s="14" t="n">
        <x:f>K101*N101</x:f>
        <x:v>216</x:v>
      </x:c>
      <x:c r="R101" s="14" t="n">
        <x:f>P101-Q101</x:f>
        <x:v>144</x:v>
      </x:c>
      <x:c r="S101" s="16" t="n">
        <x:f>IFERROR(R101/P101,0)</x:f>
        <x:v>0.4</x:v>
      </x:c>
    </x:row>
    <x:row r="102" ht="15" hidden="0" customHeight="1">
      <x:c r="A102" t="str">
        <x:f>Raw_Orders!A102</x:f>
        <x:v>O0101</x:v>
      </x:c>
      <x:c r="B102" s="10" t="n">
        <x:f>Raw_Orders!B102</x:f>
        <x:v>45733</x:v>
      </x:c>
      <x:c r="C102" t="str">
        <x:f>Raw_Orders!C102</x:f>
        <x:v>C004</x:v>
      </x:c>
      <x:c r="D102" t="str">
        <x:f>INDEX(Customers!$B$2:$B$81,MATCH(C102,Customers!$A$2:$A$81,0))</x:f>
        <x:v>Customer 04</x:v>
      </x:c>
      <x:c r="E102" t="str">
        <x:f>INDEX(Customers!$C$2:$C$81,MATCH(C102,Customers!$A$2:$A$81,0))</x:f>
        <x:v>Consumer</x:v>
      </x:c>
      <x:c r="F102" t="str">
        <x:f>INDEX(Customers!$D$2:$D$81,MATCH(C102,Customers!$A$2:$A$81,0))</x:f>
        <x:v>West</x:v>
      </x:c>
      <x:c r="G102" t="str">
        <x:f>Raw_Orders!D102</x:f>
        <x:v>P001</x:v>
      </x:c>
      <x:c r="H102" t="str">
        <x:f>INDEX(Products!$B$2:$B$13,MATCH(G102,Products!$A$2:$A$13,0))</x:f>
        <x:v>Wireless Headset</x:v>
      </x:c>
      <x:c r="I102" t="str">
        <x:f>INDEX(Products!$C$2:$C$13,MATCH(G102,Products!$A$2:$A$13,0))</x:f>
        <x:v>Accessories</x:v>
      </x:c>
      <x:c r="J102" t="str">
        <x:f>Raw_Orders!G102</x:f>
        <x:v>Partner</x:v>
      </x:c>
      <x:c r="K102" t="n">
        <x:f>Raw_Orders!E102</x:f>
        <x:v>2</x:v>
      </x:c>
      <x:c r="L102" s="12" t="n">
        <x:f>Raw_Orders!F102</x:f>
        <x:v>0.05</x:v>
      </x:c>
      <x:c r="M102" s="14" t="n">
        <x:f>INDEX(Products!$D$2:$D$13,MATCH(G102,Products!$A$2:$A$13,0))</x:f>
        <x:v>85</x:v>
      </x:c>
      <x:c r="N102" s="14" t="n">
        <x:f>INDEX(Products!$E$2:$E$13,MATCH(G102,Products!$A$2:$A$13,0))</x:f>
        <x:v>42</x:v>
      </x:c>
      <x:c r="O102" s="14" t="n">
        <x:f>K102*M102</x:f>
        <x:v>170</x:v>
      </x:c>
      <x:c r="P102" s="14" t="n">
        <x:f>O102*(1-L102)</x:f>
        <x:v>161.5</x:v>
      </x:c>
      <x:c r="Q102" s="14" t="n">
        <x:f>K102*N102</x:f>
        <x:v>84</x:v>
      </x:c>
      <x:c r="R102" s="14" t="n">
        <x:f>P102-Q102</x:f>
        <x:v>77.5</x:v>
      </x:c>
      <x:c r="S102" s="16" t="n">
        <x:f>IFERROR(R102/P102,0)</x:f>
        <x:v>0.47987616099071206</x:v>
      </x:c>
    </x:row>
    <x:row r="103" ht="15" hidden="0" customHeight="1">
      <x:c r="A103" t="str">
        <x:f>Raw_Orders!A103</x:f>
        <x:v>O0102</x:v>
      </x:c>
      <x:c r="B103" s="10" t="n">
        <x:f>Raw_Orders!B103</x:f>
        <x:v>45695</x:v>
      </x:c>
      <x:c r="C103" t="str">
        <x:f>Raw_Orders!C103</x:f>
        <x:v>C059</x:v>
      </x:c>
      <x:c r="D103" t="str">
        <x:f>INDEX(Customers!$B$2:$B$81,MATCH(C103,Customers!$A$2:$A$81,0))</x:f>
        <x:v>Customer 59</x:v>
      </x:c>
      <x:c r="E103" t="str">
        <x:f>INDEX(Customers!$C$2:$C$81,MATCH(C103,Customers!$A$2:$A$81,0))</x:f>
        <x:v>Corporate</x:v>
      </x:c>
      <x:c r="F103" t="str">
        <x:f>INDEX(Customers!$D$2:$D$81,MATCH(C103,Customers!$A$2:$A$81,0))</x:f>
        <x:v>East</x:v>
      </x:c>
      <x:c r="G103" t="str">
        <x:f>Raw_Orders!D103</x:f>
        <x:v>P007</x:v>
      </x:c>
      <x:c r="H103" t="str">
        <x:f>INDEX(Products!$B$2:$B$13,MATCH(G103,Products!$A$2:$A$13,0))</x:f>
        <x:v>Ergonomic Chair</x:v>
      </x:c>
      <x:c r="I103" t="str">
        <x:f>INDEX(Products!$C$2:$C$13,MATCH(G103,Products!$A$2:$A$13,0))</x:f>
        <x:v>Office</x:v>
      </x:c>
      <x:c r="J103" t="str">
        <x:f>Raw_Orders!G103</x:f>
        <x:v>Online</x:v>
      </x:c>
      <x:c r="K103" t="n">
        <x:f>Raw_Orders!E103</x:f>
        <x:v>6</x:v>
      </x:c>
      <x:c r="L103" s="12" t="n">
        <x:f>Raw_Orders!F103</x:f>
        <x:v>0.1</x:v>
      </x:c>
      <x:c r="M103" s="14" t="n">
        <x:f>INDEX(Products!$D$2:$D$13,MATCH(G103,Products!$A$2:$A$13,0))</x:f>
        <x:v>390</x:v>
      </x:c>
      <x:c r="N103" s="14" t="n">
        <x:f>INDEX(Products!$E$2:$E$13,MATCH(G103,Products!$A$2:$A$13,0))</x:f>
        <x:v>245</x:v>
      </x:c>
      <x:c r="O103" s="14" t="n">
        <x:f>K103*M103</x:f>
        <x:v>2340</x:v>
      </x:c>
      <x:c r="P103" s="14" t="n">
        <x:f>O103*(1-L103)</x:f>
        <x:v>2106</x:v>
      </x:c>
      <x:c r="Q103" s="14" t="n">
        <x:f>K103*N103</x:f>
        <x:v>1470</x:v>
      </x:c>
      <x:c r="R103" s="14" t="n">
        <x:f>P103-Q103</x:f>
        <x:v>636</x:v>
      </x:c>
      <x:c r="S103" s="16" t="n">
        <x:f>IFERROR(R103/P103,0)</x:f>
        <x:v>0.301994301994302</x:v>
      </x:c>
    </x:row>
    <x:row r="104" ht="15" hidden="0" customHeight="1">
      <x:c r="A104" t="str">
        <x:f>Raw_Orders!A104</x:f>
        <x:v>O0103</x:v>
      </x:c>
      <x:c r="B104" s="10" t="n">
        <x:f>Raw_Orders!B104</x:f>
        <x:v>46014</x:v>
      </x:c>
      <x:c r="C104" t="str">
        <x:f>Raw_Orders!C104</x:f>
        <x:v>C050</x:v>
      </x:c>
      <x:c r="D104" t="str">
        <x:f>INDEX(Customers!$B$2:$B$81,MATCH(C104,Customers!$A$2:$A$81,0))</x:f>
        <x:v>Customer 50</x:v>
      </x:c>
      <x:c r="E104" t="str">
        <x:f>INDEX(Customers!$C$2:$C$81,MATCH(C104,Customers!$A$2:$A$81,0))</x:f>
        <x:v>Corporate</x:v>
      </x:c>
      <x:c r="F104" t="str">
        <x:f>INDEX(Customers!$D$2:$D$81,MATCH(C104,Customers!$A$2:$A$81,0))</x:f>
        <x:v>South</x:v>
      </x:c>
      <x:c r="G104" t="str">
        <x:f>Raw_Orders!D104</x:f>
        <x:v>P008</x:v>
      </x:c>
      <x:c r="H104" t="str">
        <x:f>INDEX(Products!$B$2:$B$13,MATCH(G104,Products!$A$2:$A$13,0))</x:f>
        <x:v>Webcam</x:v>
      </x:c>
      <x:c r="I104" t="str">
        <x:f>INDEX(Products!$C$2:$C$13,MATCH(G104,Products!$A$2:$A$13,0))</x:f>
        <x:v>Accessories</x:v>
      </x:c>
      <x:c r="J104" t="str">
        <x:f>Raw_Orders!G104</x:f>
        <x:v>Online</x:v>
      </x:c>
      <x:c r="K104" t="n">
        <x:f>Raw_Orders!E104</x:f>
        <x:v>4</x:v>
      </x:c>
      <x:c r="L104" s="12" t="n">
        <x:f>Raw_Orders!F104</x:f>
        <x:v>0</x:v>
      </x:c>
      <x:c r="M104" s="14" t="n">
        <x:f>INDEX(Products!$D$2:$D$13,MATCH(G104,Products!$A$2:$A$13,0))</x:f>
        <x:v>95</x:v>
      </x:c>
      <x:c r="N104" s="14" t="n">
        <x:f>INDEX(Products!$E$2:$E$13,MATCH(G104,Products!$A$2:$A$13,0))</x:f>
        <x:v>49</x:v>
      </x:c>
      <x:c r="O104" s="14" t="n">
        <x:f>K104*M104</x:f>
        <x:v>380</x:v>
      </x:c>
      <x:c r="P104" s="14" t="n">
        <x:f>O104*(1-L104)</x:f>
        <x:v>380</x:v>
      </x:c>
      <x:c r="Q104" s="14" t="n">
        <x:f>K104*N104</x:f>
        <x:v>196</x:v>
      </x:c>
      <x:c r="R104" s="14" t="n">
        <x:f>P104-Q104</x:f>
        <x:v>184</x:v>
      </x:c>
      <x:c r="S104" s="16" t="n">
        <x:f>IFERROR(R104/P104,0)</x:f>
        <x:v>0.4842105263157895</x:v>
      </x:c>
    </x:row>
    <x:row r="105" ht="15" hidden="0" customHeight="1">
      <x:c r="A105" t="str">
        <x:f>Raw_Orders!A105</x:f>
        <x:v>O0104</x:v>
      </x:c>
      <x:c r="B105" s="10" t="n">
        <x:f>Raw_Orders!B105</x:f>
        <x:v>45993</x:v>
      </x:c>
      <x:c r="C105" t="str">
        <x:f>Raw_Orders!C105</x:f>
        <x:v>C001</x:v>
      </x:c>
      <x:c r="D105" t="str">
        <x:f>INDEX(Customers!$B$2:$B$81,MATCH(C105,Customers!$A$2:$A$81,0))</x:f>
        <x:v>Customer 01</x:v>
      </x:c>
      <x:c r="E105" t="str">
        <x:f>INDEX(Customers!$C$2:$C$81,MATCH(C105,Customers!$A$2:$A$81,0))</x:f>
        <x:v>Consumer</x:v>
      </x:c>
      <x:c r="F105" t="str">
        <x:f>INDEX(Customers!$D$2:$D$81,MATCH(C105,Customers!$A$2:$A$81,0))</x:f>
        <x:v>North</x:v>
      </x:c>
      <x:c r="G105" t="str">
        <x:f>Raw_Orders!D105</x:f>
        <x:v>P002</x:v>
      </x:c>
      <x:c r="H105" t="str">
        <x:f>INDEX(Products!$B$2:$B$13,MATCH(G105,Products!$A$2:$A$13,0))</x:f>
        <x:v>Mechanical Keyboard</x:v>
      </x:c>
      <x:c r="I105" t="str">
        <x:f>INDEX(Products!$C$2:$C$13,MATCH(G105,Products!$A$2:$A$13,0))</x:f>
        <x:v>Accessories</x:v>
      </x:c>
      <x:c r="J105" t="str">
        <x:f>Raw_Orders!G105</x:f>
        <x:v>Online</x:v>
      </x:c>
      <x:c r="K105" t="n">
        <x:f>Raw_Orders!E105</x:f>
        <x:v>4</x:v>
      </x:c>
      <x:c r="L105" s="12" t="n">
        <x:f>Raw_Orders!F105</x:f>
        <x:v>0</x:v>
      </x:c>
      <x:c r="M105" s="14" t="n">
        <x:f>INDEX(Products!$D$2:$D$13,MATCH(G105,Products!$A$2:$A$13,0))</x:f>
        <x:v>110</x:v>
      </x:c>
      <x:c r="N105" s="14" t="n">
        <x:f>INDEX(Products!$E$2:$E$13,MATCH(G105,Products!$A$2:$A$13,0))</x:f>
        <x:v>58</x:v>
      </x:c>
      <x:c r="O105" s="14" t="n">
        <x:f>K105*M105</x:f>
        <x:v>440</x:v>
      </x:c>
      <x:c r="P105" s="14" t="n">
        <x:f>O105*(1-L105)</x:f>
        <x:v>440</x:v>
      </x:c>
      <x:c r="Q105" s="14" t="n">
        <x:f>K105*N105</x:f>
        <x:v>232</x:v>
      </x:c>
      <x:c r="R105" s="14" t="n">
        <x:f>P105-Q105</x:f>
        <x:v>208</x:v>
      </x:c>
      <x:c r="S105" s="16" t="n">
        <x:f>IFERROR(R105/P105,0)</x:f>
        <x:v>0.4727272727272727</x:v>
      </x:c>
    </x:row>
    <x:row r="106" ht="15" hidden="0" customHeight="1">
      <x:c r="A106" t="str">
        <x:f>Raw_Orders!A106</x:f>
        <x:v>O0105</x:v>
      </x:c>
      <x:c r="B106" s="10" t="n">
        <x:f>Raw_Orders!B106</x:f>
        <x:v>46014</x:v>
      </x:c>
      <x:c r="C106" t="str">
        <x:f>Raw_Orders!C106</x:f>
        <x:v>C067</x:v>
      </x:c>
      <x:c r="D106" t="str">
        <x:f>INDEX(Customers!$B$2:$B$81,MATCH(C106,Customers!$A$2:$A$81,0))</x:f>
        <x:v>Customer 67</x:v>
      </x:c>
      <x:c r="E106" t="str">
        <x:f>INDEX(Customers!$C$2:$C$81,MATCH(C106,Customers!$A$2:$A$81,0))</x:f>
        <x:v>Consumer</x:v>
      </x:c>
      <x:c r="F106" t="str">
        <x:f>INDEX(Customers!$D$2:$D$81,MATCH(C106,Customers!$A$2:$A$81,0))</x:f>
        <x:v>East</x:v>
      </x:c>
      <x:c r="G106" t="str">
        <x:f>Raw_Orders!D106</x:f>
        <x:v>P008</x:v>
      </x:c>
      <x:c r="H106" t="str">
        <x:f>INDEX(Products!$B$2:$B$13,MATCH(G106,Products!$A$2:$A$13,0))</x:f>
        <x:v>Webcam</x:v>
      </x:c>
      <x:c r="I106" t="str">
        <x:f>INDEX(Products!$C$2:$C$13,MATCH(G106,Products!$A$2:$A$13,0))</x:f>
        <x:v>Accessories</x:v>
      </x:c>
      <x:c r="J106" t="str">
        <x:f>Raw_Orders!G106</x:f>
        <x:v>Online</x:v>
      </x:c>
      <x:c r="K106" t="n">
        <x:f>Raw_Orders!E106</x:f>
        <x:v>1</x:v>
      </x:c>
      <x:c r="L106" s="12" t="n">
        <x:f>Raw_Orders!F106</x:f>
        <x:v>0.1</x:v>
      </x:c>
      <x:c r="M106" s="14" t="n">
        <x:f>INDEX(Products!$D$2:$D$13,MATCH(G106,Products!$A$2:$A$13,0))</x:f>
        <x:v>95</x:v>
      </x:c>
      <x:c r="N106" s="14" t="n">
        <x:f>INDEX(Products!$E$2:$E$13,MATCH(G106,Products!$A$2:$A$13,0))</x:f>
        <x:v>49</x:v>
      </x:c>
      <x:c r="O106" s="14" t="n">
        <x:f>K106*M106</x:f>
        <x:v>95</x:v>
      </x:c>
      <x:c r="P106" s="14" t="n">
        <x:f>O106*(1-L106)</x:f>
        <x:v>85.5</x:v>
      </x:c>
      <x:c r="Q106" s="14" t="n">
        <x:f>K106*N106</x:f>
        <x:v>49</x:v>
      </x:c>
      <x:c r="R106" s="14" t="n">
        <x:f>P106-Q106</x:f>
        <x:v>36.5</x:v>
      </x:c>
      <x:c r="S106" s="16" t="n">
        <x:f>IFERROR(R106/P106,0)</x:f>
        <x:v>0.4269005847953216</x:v>
      </x:c>
    </x:row>
    <x:row r="107" ht="15" hidden="0" customHeight="1">
      <x:c r="A107" t="str">
        <x:f>Raw_Orders!A107</x:f>
        <x:v>O0106</x:v>
      </x:c>
      <x:c r="B107" s="10" t="n">
        <x:f>Raw_Orders!B107</x:f>
        <x:v>45720</x:v>
      </x:c>
      <x:c r="C107" t="str">
        <x:f>Raw_Orders!C107</x:f>
        <x:v>C059</x:v>
      </x:c>
      <x:c r="D107" t="str">
        <x:f>INDEX(Customers!$B$2:$B$81,MATCH(C107,Customers!$A$2:$A$81,0))</x:f>
        <x:v>Customer 59</x:v>
      </x:c>
      <x:c r="E107" t="str">
        <x:f>INDEX(Customers!$C$2:$C$81,MATCH(C107,Customers!$A$2:$A$81,0))</x:f>
        <x:v>Corporate</x:v>
      </x:c>
      <x:c r="F107" t="str">
        <x:f>INDEX(Customers!$D$2:$D$81,MATCH(C107,Customers!$A$2:$A$81,0))</x:f>
        <x:v>East</x:v>
      </x:c>
      <x:c r="G107" t="str">
        <x:f>Raw_Orders!D107</x:f>
        <x:v>P003</x:v>
      </x:c>
      <x:c r="H107" t="str">
        <x:f>INDEX(Products!$B$2:$B$13,MATCH(G107,Products!$A$2:$A$13,0))</x:f>
        <x:v>USB-C Hub</x:v>
      </x:c>
      <x:c r="I107" t="str">
        <x:f>INDEX(Products!$C$2:$C$13,MATCH(G107,Products!$A$2:$A$13,0))</x:f>
        <x:v>Accessories</x:v>
      </x:c>
      <x:c r="J107" t="str">
        <x:f>Raw_Orders!G107</x:f>
        <x:v>Partner</x:v>
      </x:c>
      <x:c r="K107" t="n">
        <x:f>Raw_Orders!E107</x:f>
        <x:v>4</x:v>
      </x:c>
      <x:c r="L107" s="12" t="n">
        <x:f>Raw_Orders!F107</x:f>
        <x:v>0.15</x:v>
      </x:c>
      <x:c r="M107" s="14" t="n">
        <x:f>INDEX(Products!$D$2:$D$13,MATCH(G107,Products!$A$2:$A$13,0))</x:f>
        <x:v>65</x:v>
      </x:c>
      <x:c r="N107" s="14" t="n">
        <x:f>INDEX(Products!$E$2:$E$13,MATCH(G107,Products!$A$2:$A$13,0))</x:f>
        <x:v>31</x:v>
      </x:c>
      <x:c r="O107" s="14" t="n">
        <x:f>K107*M107</x:f>
        <x:v>260</x:v>
      </x:c>
      <x:c r="P107" s="14" t="n">
        <x:f>O107*(1-L107)</x:f>
        <x:v>221</x:v>
      </x:c>
      <x:c r="Q107" s="14" t="n">
        <x:f>K107*N107</x:f>
        <x:v>124</x:v>
      </x:c>
      <x:c r="R107" s="14" t="n">
        <x:f>P107-Q107</x:f>
        <x:v>97</x:v>
      </x:c>
      <x:c r="S107" s="16" t="n">
        <x:f>IFERROR(R107/P107,0)</x:f>
        <x:v>0.43891402714932126</x:v>
      </x:c>
    </x:row>
    <x:row r="108" ht="15" hidden="0" customHeight="1">
      <x:c r="A108" t="str">
        <x:f>Raw_Orders!A108</x:f>
        <x:v>O0107</x:v>
      </x:c>
      <x:c r="B108" s="10" t="n">
        <x:f>Raw_Orders!B108</x:f>
        <x:v>45944</x:v>
      </x:c>
      <x:c r="C108" t="str">
        <x:f>Raw_Orders!C108</x:f>
        <x:v>C077</x:v>
      </x:c>
      <x:c r="D108" t="str">
        <x:f>INDEX(Customers!$B$2:$B$81,MATCH(C108,Customers!$A$2:$A$81,0))</x:f>
        <x:v>Customer 77</x:v>
      </x:c>
      <x:c r="E108" t="str">
        <x:f>INDEX(Customers!$C$2:$C$81,MATCH(C108,Customers!$A$2:$A$81,0))</x:f>
        <x:v>Corporate</x:v>
      </x:c>
      <x:c r="F108" t="str">
        <x:f>INDEX(Customers!$D$2:$D$81,MATCH(C108,Customers!$A$2:$A$81,0))</x:f>
        <x:v>North</x:v>
      </x:c>
      <x:c r="G108" t="str">
        <x:f>Raw_Orders!D108</x:f>
        <x:v>P006</x:v>
      </x:c>
      <x:c r="H108" t="str">
        <x:f>INDEX(Products!$B$2:$B$13,MATCH(G108,Products!$A$2:$A$13,0))</x:f>
        <x:v>Laptop Stand</x:v>
      </x:c>
      <x:c r="I108" t="str">
        <x:f>INDEX(Products!$C$2:$C$13,MATCH(G108,Products!$A$2:$A$13,0))</x:f>
        <x:v>Office</x:v>
      </x:c>
      <x:c r="J108" t="str">
        <x:f>Raw_Orders!G108</x:f>
        <x:v>Partner</x:v>
      </x:c>
      <x:c r="K108" t="n">
        <x:f>Raw_Orders!E108</x:f>
        <x:v>4</x:v>
      </x:c>
      <x:c r="L108" s="12" t="n">
        <x:f>Raw_Orders!F108</x:f>
        <x:v>0.1</x:v>
      </x:c>
      <x:c r="M108" s="14" t="n">
        <x:f>INDEX(Products!$D$2:$D$13,MATCH(G108,Products!$A$2:$A$13,0))</x:f>
        <x:v>55</x:v>
      </x:c>
      <x:c r="N108" s="14" t="n">
        <x:f>INDEX(Products!$E$2:$E$13,MATCH(G108,Products!$A$2:$A$13,0))</x:f>
        <x:v>24</x:v>
      </x:c>
      <x:c r="O108" s="14" t="n">
        <x:f>K108*M108</x:f>
        <x:v>220</x:v>
      </x:c>
      <x:c r="P108" s="14" t="n">
        <x:f>O108*(1-L108)</x:f>
        <x:v>198</x:v>
      </x:c>
      <x:c r="Q108" s="14" t="n">
        <x:f>K108*N108</x:f>
        <x:v>96</x:v>
      </x:c>
      <x:c r="R108" s="14" t="n">
        <x:f>P108-Q108</x:f>
        <x:v>102</x:v>
      </x:c>
      <x:c r="S108" s="16" t="n">
        <x:f>IFERROR(R108/P108,0)</x:f>
        <x:v>0.5151515151515151</x:v>
      </x:c>
    </x:row>
    <x:row r="109" ht="15" hidden="0" customHeight="1">
      <x:c r="A109" t="str">
        <x:f>Raw_Orders!A109</x:f>
        <x:v>O0108</x:v>
      </x:c>
      <x:c r="B109" s="10" t="n">
        <x:f>Raw_Orders!B109</x:f>
        <x:v>45916</x:v>
      </x:c>
      <x:c r="C109" t="str">
        <x:f>Raw_Orders!C109</x:f>
        <x:v>C055</x:v>
      </x:c>
      <x:c r="D109" t="str">
        <x:f>INDEX(Customers!$B$2:$B$81,MATCH(C109,Customers!$A$2:$A$81,0))</x:f>
        <x:v>Customer 55</x:v>
      </x:c>
      <x:c r="E109" t="str">
        <x:f>INDEX(Customers!$C$2:$C$81,MATCH(C109,Customers!$A$2:$A$81,0))</x:f>
        <x:v>Consumer</x:v>
      </x:c>
      <x:c r="F109" t="str">
        <x:f>INDEX(Customers!$D$2:$D$81,MATCH(C109,Customers!$A$2:$A$81,0))</x:f>
        <x:v>East</x:v>
      </x:c>
      <x:c r="G109" t="str">
        <x:f>Raw_Orders!D109</x:f>
        <x:v>P009</x:v>
      </x:c>
      <x:c r="H109" t="str">
        <x:f>INDEX(Products!$B$2:$B$13,MATCH(G109,Products!$A$2:$A$13,0))</x:f>
        <x:v>Desk Lamp</x:v>
      </x:c>
      <x:c r="I109" t="str">
        <x:f>INDEX(Products!$C$2:$C$13,MATCH(G109,Products!$A$2:$A$13,0))</x:f>
        <x:v>Office</x:v>
      </x:c>
      <x:c r="J109" t="str">
        <x:f>Raw_Orders!G109</x:f>
        <x:v>Partner</x:v>
      </x:c>
      <x:c r="K109" t="n">
        <x:f>Raw_Orders!E109</x:f>
        <x:v>4</x:v>
      </x:c>
      <x:c r="L109" s="12" t="n">
        <x:f>Raw_Orders!F109</x:f>
        <x:v>0</x:v>
      </x:c>
      <x:c r="M109" s="14" t="n">
        <x:f>INDEX(Products!$D$2:$D$13,MATCH(G109,Products!$A$2:$A$13,0))</x:f>
        <x:v>70</x:v>
      </x:c>
      <x:c r="N109" s="14" t="n">
        <x:f>INDEX(Products!$E$2:$E$13,MATCH(G109,Products!$A$2:$A$13,0))</x:f>
        <x:v>29</x:v>
      </x:c>
      <x:c r="O109" s="14" t="n">
        <x:f>K109*M109</x:f>
        <x:v>280</x:v>
      </x:c>
      <x:c r="P109" s="14" t="n">
        <x:f>O109*(1-L109)</x:f>
        <x:v>280</x:v>
      </x:c>
      <x:c r="Q109" s="14" t="n">
        <x:f>K109*N109</x:f>
        <x:v>116</x:v>
      </x:c>
      <x:c r="R109" s="14" t="n">
        <x:f>P109-Q109</x:f>
        <x:v>164</x:v>
      </x:c>
      <x:c r="S109" s="16" t="n">
        <x:f>IFERROR(R109/P109,0)</x:f>
        <x:v>0.5857142857142857</x:v>
      </x:c>
    </x:row>
    <x:row r="110" ht="15" hidden="0" customHeight="1">
      <x:c r="A110" t="str">
        <x:f>Raw_Orders!A110</x:f>
        <x:v>O0109</x:v>
      </x:c>
      <x:c r="B110" s="10" t="n">
        <x:f>Raw_Orders!B110</x:f>
        <x:v>45901</x:v>
      </x:c>
      <x:c r="C110" t="str">
        <x:f>Raw_Orders!C110</x:f>
        <x:v>C058</x:v>
      </x:c>
      <x:c r="D110" t="str">
        <x:f>INDEX(Customers!$B$2:$B$81,MATCH(C110,Customers!$A$2:$A$81,0))</x:f>
        <x:v>Customer 58</x:v>
      </x:c>
      <x:c r="E110" t="str">
        <x:f>INDEX(Customers!$C$2:$C$81,MATCH(C110,Customers!$A$2:$A$81,0))</x:f>
        <x:v>Consumer</x:v>
      </x:c>
      <x:c r="F110" t="str">
        <x:f>INDEX(Customers!$D$2:$D$81,MATCH(C110,Customers!$A$2:$A$81,0))</x:f>
        <x:v>South</x:v>
      </x:c>
      <x:c r="G110" t="str">
        <x:f>Raw_Orders!D110</x:f>
        <x:v>P005</x:v>
      </x:c>
      <x:c r="H110" t="str">
        <x:f>INDEX(Products!$B$2:$B$13,MATCH(G110,Products!$A$2:$A$13,0))</x:f>
        <x:v>27in Monitor</x:v>
      </x:c>
      <x:c r="I110" t="str">
        <x:f>INDEX(Products!$C$2:$C$13,MATCH(G110,Products!$A$2:$A$13,0))</x:f>
        <x:v>Displays</x:v>
      </x:c>
      <x:c r="J110" t="str">
        <x:f>Raw_Orders!G110</x:f>
        <x:v>Retail</x:v>
      </x:c>
      <x:c r="K110" t="n">
        <x:f>Raw_Orders!E110</x:f>
        <x:v>2</x:v>
      </x:c>
      <x:c r="L110" s="12" t="n">
        <x:f>Raw_Orders!F110</x:f>
        <x:v>0.15</x:v>
      </x:c>
      <x:c r="M110" s="14" t="n">
        <x:f>INDEX(Products!$D$2:$D$13,MATCH(G110,Products!$A$2:$A$13,0))</x:f>
        <x:v>310</x:v>
      </x:c>
      <x:c r="N110" s="14" t="n">
        <x:f>INDEX(Products!$E$2:$E$13,MATCH(G110,Products!$A$2:$A$13,0))</x:f>
        <x:v>205</x:v>
      </x:c>
      <x:c r="O110" s="14" t="n">
        <x:f>K110*M110</x:f>
        <x:v>620</x:v>
      </x:c>
      <x:c r="P110" s="14" t="n">
        <x:f>O110*(1-L110)</x:f>
        <x:v>527</x:v>
      </x:c>
      <x:c r="Q110" s="14" t="n">
        <x:f>K110*N110</x:f>
        <x:v>410</x:v>
      </x:c>
      <x:c r="R110" s="14" t="n">
        <x:f>P110-Q110</x:f>
        <x:v>117</x:v>
      </x:c>
      <x:c r="S110" s="16" t="n">
        <x:f>IFERROR(R110/P110,0)</x:f>
        <x:v>0.222011385199241</x:v>
      </x:c>
    </x:row>
    <x:row r="111" ht="15" hidden="0" customHeight="1">
      <x:c r="A111" t="str">
        <x:f>Raw_Orders!A111</x:f>
        <x:v>O0110</x:v>
      </x:c>
      <x:c r="B111" s="10" t="n">
        <x:f>Raw_Orders!B111</x:f>
        <x:v>45924</x:v>
      </x:c>
      <x:c r="C111" t="str">
        <x:f>Raw_Orders!C111</x:f>
        <x:v>C063</x:v>
      </x:c>
      <x:c r="D111" t="str">
        <x:f>INDEX(Customers!$B$2:$B$81,MATCH(C111,Customers!$A$2:$A$81,0))</x:f>
        <x:v>Customer 63</x:v>
      </x:c>
      <x:c r="E111" t="str">
        <x:f>INDEX(Customers!$C$2:$C$81,MATCH(C111,Customers!$A$2:$A$81,0))</x:f>
        <x:v>Small Business</x:v>
      </x:c>
      <x:c r="F111" t="str">
        <x:f>INDEX(Customers!$D$2:$D$81,MATCH(C111,Customers!$A$2:$A$81,0))</x:f>
        <x:v>East</x:v>
      </x:c>
      <x:c r="G111" t="str">
        <x:f>Raw_Orders!D111</x:f>
        <x:v>P011</x:v>
      </x:c>
      <x:c r="H111" t="str">
        <x:f>INDEX(Products!$B$2:$B$13,MATCH(G111,Products!$A$2:$A$13,0))</x:f>
        <x:v>External HDD</x:v>
      </x:c>
      <x:c r="I111" t="str">
        <x:f>INDEX(Products!$C$2:$C$13,MATCH(G111,Products!$A$2:$A$13,0))</x:f>
        <x:v>Storage</x:v>
      </x:c>
      <x:c r="J111" t="str">
        <x:f>Raw_Orders!G111</x:f>
        <x:v>Retail</x:v>
      </x:c>
      <x:c r="K111" t="n">
        <x:f>Raw_Orders!E111</x:f>
        <x:v>2</x:v>
      </x:c>
      <x:c r="L111" s="12" t="n">
        <x:f>Raw_Orders!F111</x:f>
        <x:v>0</x:v>
      </x:c>
      <x:c r="M111" s="14" t="n">
        <x:f>INDEX(Products!$D$2:$D$13,MATCH(G111,Products!$A$2:$A$13,0))</x:f>
        <x:v>120</x:v>
      </x:c>
      <x:c r="N111" s="14" t="n">
        <x:f>INDEX(Products!$E$2:$E$13,MATCH(G111,Products!$A$2:$A$13,0))</x:f>
        <x:v>72</x:v>
      </x:c>
      <x:c r="O111" s="14" t="n">
        <x:f>K111*M111</x:f>
        <x:v>240</x:v>
      </x:c>
      <x:c r="P111" s="14" t="n">
        <x:f>O111*(1-L111)</x:f>
        <x:v>240</x:v>
      </x:c>
      <x:c r="Q111" s="14" t="n">
        <x:f>K111*N111</x:f>
        <x:v>144</x:v>
      </x:c>
      <x:c r="R111" s="14" t="n">
        <x:f>P111-Q111</x:f>
        <x:v>96</x:v>
      </x:c>
      <x:c r="S111" s="16" t="n">
        <x:f>IFERROR(R111/P111,0)</x:f>
        <x:v>0.4</x:v>
      </x:c>
    </x:row>
    <x:row r="112" ht="15" hidden="0" customHeight="1">
      <x:c r="A112" t="str">
        <x:f>Raw_Orders!A112</x:f>
        <x:v>O0111</x:v>
      </x:c>
      <x:c r="B112" s="10" t="n">
        <x:f>Raw_Orders!B112</x:f>
        <x:v>45697</x:v>
      </x:c>
      <x:c r="C112" t="str">
        <x:f>Raw_Orders!C112</x:f>
        <x:v>C037</x:v>
      </x:c>
      <x:c r="D112" t="str">
        <x:f>INDEX(Customers!$B$2:$B$81,MATCH(C112,Customers!$A$2:$A$81,0))</x:f>
        <x:v>Customer 37</x:v>
      </x:c>
      <x:c r="E112" t="str">
        <x:f>INDEX(Customers!$C$2:$C$81,MATCH(C112,Customers!$A$2:$A$81,0))</x:f>
        <x:v>Consumer</x:v>
      </x:c>
      <x:c r="F112" t="str">
        <x:f>INDEX(Customers!$D$2:$D$81,MATCH(C112,Customers!$A$2:$A$81,0))</x:f>
        <x:v>North</x:v>
      </x:c>
      <x:c r="G112" t="str">
        <x:f>Raw_Orders!D112</x:f>
        <x:v>P004</x:v>
      </x:c>
      <x:c r="H112" t="str">
        <x:f>INDEX(Products!$B$2:$B$13,MATCH(G112,Products!$A$2:$A$13,0))</x:f>
        <x:v>24in Monitor</x:v>
      </x:c>
      <x:c r="I112" t="str">
        <x:f>INDEX(Products!$C$2:$C$13,MATCH(G112,Products!$A$2:$A$13,0))</x:f>
        <x:v>Displays</x:v>
      </x:c>
      <x:c r="J112" t="str">
        <x:f>Raw_Orders!G112</x:f>
        <x:v>Retail</x:v>
      </x:c>
      <x:c r="K112" t="n">
        <x:f>Raw_Orders!E112</x:f>
        <x:v>3</x:v>
      </x:c>
      <x:c r="L112" s="12" t="n">
        <x:f>Raw_Orders!F112</x:f>
        <x:v>0</x:v>
      </x:c>
      <x:c r="M112" s="14" t="n">
        <x:f>INDEX(Products!$D$2:$D$13,MATCH(G112,Products!$A$2:$A$13,0))</x:f>
        <x:v>220</x:v>
      </x:c>
      <x:c r="N112" s="14" t="n">
        <x:f>INDEX(Products!$E$2:$E$13,MATCH(G112,Products!$A$2:$A$13,0))</x:f>
        <x:v>142</x:v>
      </x:c>
      <x:c r="O112" s="14" t="n">
        <x:f>K112*M112</x:f>
        <x:v>660</x:v>
      </x:c>
      <x:c r="P112" s="14" t="n">
        <x:f>O112*(1-L112)</x:f>
        <x:v>660</x:v>
      </x:c>
      <x:c r="Q112" s="14" t="n">
        <x:f>K112*N112</x:f>
        <x:v>426</x:v>
      </x:c>
      <x:c r="R112" s="14" t="n">
        <x:f>P112-Q112</x:f>
        <x:v>234</x:v>
      </x:c>
      <x:c r="S112" s="16" t="n">
        <x:f>IFERROR(R112/P112,0)</x:f>
        <x:v>0.35454545454545455</x:v>
      </x:c>
    </x:row>
    <x:row r="113" ht="15" hidden="0" customHeight="1">
      <x:c r="A113" t="str">
        <x:f>Raw_Orders!A113</x:f>
        <x:v>O0112</x:v>
      </x:c>
      <x:c r="B113" s="10" t="n">
        <x:f>Raw_Orders!B113</x:f>
        <x:v>45934</x:v>
      </x:c>
      <x:c r="C113" t="str">
        <x:f>Raw_Orders!C113</x:f>
        <x:v>C011</x:v>
      </x:c>
      <x:c r="D113" t="str">
        <x:f>INDEX(Customers!$B$2:$B$81,MATCH(C113,Customers!$A$2:$A$81,0))</x:f>
        <x:v>Customer 11</x:v>
      </x:c>
      <x:c r="E113" t="str">
        <x:f>INDEX(Customers!$C$2:$C$81,MATCH(C113,Customers!$A$2:$A$81,0))</x:f>
        <x:v>Corporate</x:v>
      </x:c>
      <x:c r="F113" t="str">
        <x:f>INDEX(Customers!$D$2:$D$81,MATCH(C113,Customers!$A$2:$A$81,0))</x:f>
        <x:v>East</x:v>
      </x:c>
      <x:c r="G113" t="str">
        <x:f>Raw_Orders!D113</x:f>
        <x:v>P003</x:v>
      </x:c>
      <x:c r="H113" t="str">
        <x:f>INDEX(Products!$B$2:$B$13,MATCH(G113,Products!$A$2:$A$13,0))</x:f>
        <x:v>USB-C Hub</x:v>
      </x:c>
      <x:c r="I113" t="str">
        <x:f>INDEX(Products!$C$2:$C$13,MATCH(G113,Products!$A$2:$A$13,0))</x:f>
        <x:v>Accessories</x:v>
      </x:c>
      <x:c r="J113" t="str">
        <x:f>Raw_Orders!G113</x:f>
        <x:v>Retail</x:v>
      </x:c>
      <x:c r="K113" t="n">
        <x:f>Raw_Orders!E113</x:f>
        <x:v>2</x:v>
      </x:c>
      <x:c r="L113" s="12" t="n">
        <x:f>Raw_Orders!F113</x:f>
        <x:v>0</x:v>
      </x:c>
      <x:c r="M113" s="14" t="n">
        <x:f>INDEX(Products!$D$2:$D$13,MATCH(G113,Products!$A$2:$A$13,0))</x:f>
        <x:v>65</x:v>
      </x:c>
      <x:c r="N113" s="14" t="n">
        <x:f>INDEX(Products!$E$2:$E$13,MATCH(G113,Products!$A$2:$A$13,0))</x:f>
        <x:v>31</x:v>
      </x:c>
      <x:c r="O113" s="14" t="n">
        <x:f>K113*M113</x:f>
        <x:v>130</x:v>
      </x:c>
      <x:c r="P113" s="14" t="n">
        <x:f>O113*(1-L113)</x:f>
        <x:v>130</x:v>
      </x:c>
      <x:c r="Q113" s="14" t="n">
        <x:f>K113*N113</x:f>
        <x:v>62</x:v>
      </x:c>
      <x:c r="R113" s="14" t="n">
        <x:f>P113-Q113</x:f>
        <x:v>68</x:v>
      </x:c>
      <x:c r="S113" s="16" t="n">
        <x:f>IFERROR(R113/P113,0)</x:f>
        <x:v>0.5230769230769231</x:v>
      </x:c>
    </x:row>
    <x:row r="114" ht="15" hidden="0" customHeight="1">
      <x:c r="A114" t="str">
        <x:f>Raw_Orders!A114</x:f>
        <x:v>O0113</x:v>
      </x:c>
      <x:c r="B114" s="10" t="n">
        <x:f>Raw_Orders!B114</x:f>
        <x:v>46013</x:v>
      </x:c>
      <x:c r="C114" t="str">
        <x:f>Raw_Orders!C114</x:f>
        <x:v>C020</x:v>
      </x:c>
      <x:c r="D114" t="str">
        <x:f>INDEX(Customers!$B$2:$B$81,MATCH(C114,Customers!$A$2:$A$81,0))</x:f>
        <x:v>Customer 20</x:v>
      </x:c>
      <x:c r="E114" t="str">
        <x:f>INDEX(Customers!$C$2:$C$81,MATCH(C114,Customers!$A$2:$A$81,0))</x:f>
        <x:v>Corporate</x:v>
      </x:c>
      <x:c r="F114" t="str">
        <x:f>INDEX(Customers!$D$2:$D$81,MATCH(C114,Customers!$A$2:$A$81,0))</x:f>
        <x:v>West</x:v>
      </x:c>
      <x:c r="G114" t="str">
        <x:f>Raw_Orders!D114</x:f>
        <x:v>P012</x:v>
      </x:c>
      <x:c r="H114" t="str">
        <x:f>INDEX(Products!$B$2:$B$13,MATCH(G114,Products!$A$2:$A$13,0))</x:f>
        <x:v>Docking Station</x:v>
      </x:c>
      <x:c r="I114" t="str">
        <x:f>INDEX(Products!$C$2:$C$13,MATCH(G114,Products!$A$2:$A$13,0))</x:f>
        <x:v>Accessories</x:v>
      </x:c>
      <x:c r="J114" t="str">
        <x:f>Raw_Orders!G114</x:f>
        <x:v>Retail</x:v>
      </x:c>
      <x:c r="K114" t="n">
        <x:f>Raw_Orders!E114</x:f>
        <x:v>2</x:v>
      </x:c>
      <x:c r="L114" s="12" t="n">
        <x:f>Raw_Orders!F114</x:f>
        <x:v>0</x:v>
      </x:c>
      <x:c r="M114" s="14" t="n">
        <x:f>INDEX(Products!$D$2:$D$13,MATCH(G114,Products!$A$2:$A$13,0))</x:f>
        <x:v>180</x:v>
      </x:c>
      <x:c r="N114" s="14" t="n">
        <x:f>INDEX(Products!$E$2:$E$13,MATCH(G114,Products!$A$2:$A$13,0))</x:f>
        <x:v>104</x:v>
      </x:c>
      <x:c r="O114" s="14" t="n">
        <x:f>K114*M114</x:f>
        <x:v>360</x:v>
      </x:c>
      <x:c r="P114" s="14" t="n">
        <x:f>O114*(1-L114)</x:f>
        <x:v>360</x:v>
      </x:c>
      <x:c r="Q114" s="14" t="n">
        <x:f>K114*N114</x:f>
        <x:v>208</x:v>
      </x:c>
      <x:c r="R114" s="14" t="n">
        <x:f>P114-Q114</x:f>
        <x:v>152</x:v>
      </x:c>
      <x:c r="S114" s="16" t="n">
        <x:f>IFERROR(R114/P114,0)</x:f>
        <x:v>0.4222222222222222</x:v>
      </x:c>
    </x:row>
    <x:row r="115" ht="15" hidden="0" customHeight="1">
      <x:c r="A115" t="str">
        <x:f>Raw_Orders!A115</x:f>
        <x:v>O0114</x:v>
      </x:c>
      <x:c r="B115" s="10" t="n">
        <x:f>Raw_Orders!B115</x:f>
        <x:v>45866</x:v>
      </x:c>
      <x:c r="C115" t="str">
        <x:f>Raw_Orders!C115</x:f>
        <x:v>C043</x:v>
      </x:c>
      <x:c r="D115" t="str">
        <x:f>INDEX(Customers!$B$2:$B$81,MATCH(C115,Customers!$A$2:$A$81,0))</x:f>
        <x:v>Customer 43</x:v>
      </x:c>
      <x:c r="E115" t="str">
        <x:f>INDEX(Customers!$C$2:$C$81,MATCH(C115,Customers!$A$2:$A$81,0))</x:f>
        <x:v>Consumer</x:v>
      </x:c>
      <x:c r="F115" t="str">
        <x:f>INDEX(Customers!$D$2:$D$81,MATCH(C115,Customers!$A$2:$A$81,0))</x:f>
        <x:v>East</x:v>
      </x:c>
      <x:c r="G115" t="str">
        <x:f>Raw_Orders!D115</x:f>
        <x:v>P009</x:v>
      </x:c>
      <x:c r="H115" t="str">
        <x:f>INDEX(Products!$B$2:$B$13,MATCH(G115,Products!$A$2:$A$13,0))</x:f>
        <x:v>Desk Lamp</x:v>
      </x:c>
      <x:c r="I115" t="str">
        <x:f>INDEX(Products!$C$2:$C$13,MATCH(G115,Products!$A$2:$A$13,0))</x:f>
        <x:v>Office</x:v>
      </x:c>
      <x:c r="J115" t="str">
        <x:f>Raw_Orders!G115</x:f>
        <x:v>Online</x:v>
      </x:c>
      <x:c r="K115" t="n">
        <x:f>Raw_Orders!E115</x:f>
        <x:v>4</x:v>
      </x:c>
      <x:c r="L115" s="12" t="n">
        <x:f>Raw_Orders!F115</x:f>
        <x:v>0.05</x:v>
      </x:c>
      <x:c r="M115" s="14" t="n">
        <x:f>INDEX(Products!$D$2:$D$13,MATCH(G115,Products!$A$2:$A$13,0))</x:f>
        <x:v>70</x:v>
      </x:c>
      <x:c r="N115" s="14" t="n">
        <x:f>INDEX(Products!$E$2:$E$13,MATCH(G115,Products!$A$2:$A$13,0))</x:f>
        <x:v>29</x:v>
      </x:c>
      <x:c r="O115" s="14" t="n">
        <x:f>K115*M115</x:f>
        <x:v>280</x:v>
      </x:c>
      <x:c r="P115" s="14" t="n">
        <x:f>O115*(1-L115)</x:f>
        <x:v>266</x:v>
      </x:c>
      <x:c r="Q115" s="14" t="n">
        <x:f>K115*N115</x:f>
        <x:v>116</x:v>
      </x:c>
      <x:c r="R115" s="14" t="n">
        <x:f>P115-Q115</x:f>
        <x:v>150</x:v>
      </x:c>
      <x:c r="S115" s="16" t="n">
        <x:f>IFERROR(R115/P115,0)</x:f>
        <x:v>0.5639097744360902</x:v>
      </x:c>
    </x:row>
    <x:row r="116" ht="15" hidden="0" customHeight="1">
      <x:c r="A116" t="str">
        <x:f>Raw_Orders!A116</x:f>
        <x:v>O0115</x:v>
      </x:c>
      <x:c r="B116" s="10" t="n">
        <x:f>Raw_Orders!B116</x:f>
        <x:v>45763</x:v>
      </x:c>
      <x:c r="C116" t="str">
        <x:f>Raw_Orders!C116</x:f>
        <x:v>C054</x:v>
      </x:c>
      <x:c r="D116" t="str">
        <x:f>INDEX(Customers!$B$2:$B$81,MATCH(C116,Customers!$A$2:$A$81,0))</x:f>
        <x:v>Customer 54</x:v>
      </x:c>
      <x:c r="E116" t="str">
        <x:f>INDEX(Customers!$C$2:$C$81,MATCH(C116,Customers!$A$2:$A$81,0))</x:f>
        <x:v>Small Business</x:v>
      </x:c>
      <x:c r="F116" t="str">
        <x:f>INDEX(Customers!$D$2:$D$81,MATCH(C116,Customers!$A$2:$A$81,0))</x:f>
        <x:v>South</x:v>
      </x:c>
      <x:c r="G116" t="str">
        <x:f>Raw_Orders!D116</x:f>
        <x:v>P007</x:v>
      </x:c>
      <x:c r="H116" t="str">
        <x:f>INDEX(Products!$B$2:$B$13,MATCH(G116,Products!$A$2:$A$13,0))</x:f>
        <x:v>Ergonomic Chair</x:v>
      </x:c>
      <x:c r="I116" t="str">
        <x:f>INDEX(Products!$C$2:$C$13,MATCH(G116,Products!$A$2:$A$13,0))</x:f>
        <x:v>Office</x:v>
      </x:c>
      <x:c r="J116" t="str">
        <x:f>Raw_Orders!G116</x:f>
        <x:v>Online</x:v>
      </x:c>
      <x:c r="K116" t="n">
        <x:f>Raw_Orders!E116</x:f>
        <x:v>5</x:v>
      </x:c>
      <x:c r="L116" s="12" t="n">
        <x:f>Raw_Orders!F116</x:f>
        <x:v>0.15</x:v>
      </x:c>
      <x:c r="M116" s="14" t="n">
        <x:f>INDEX(Products!$D$2:$D$13,MATCH(G116,Products!$A$2:$A$13,0))</x:f>
        <x:v>390</x:v>
      </x:c>
      <x:c r="N116" s="14" t="n">
        <x:f>INDEX(Products!$E$2:$E$13,MATCH(G116,Products!$A$2:$A$13,0))</x:f>
        <x:v>245</x:v>
      </x:c>
      <x:c r="O116" s="14" t="n">
        <x:f>K116*M116</x:f>
        <x:v>1950</x:v>
      </x:c>
      <x:c r="P116" s="14" t="n">
        <x:f>O116*(1-L116)</x:f>
        <x:v>1657.5</x:v>
      </x:c>
      <x:c r="Q116" s="14" t="n">
        <x:f>K116*N116</x:f>
        <x:v>1225</x:v>
      </x:c>
      <x:c r="R116" s="14" t="n">
        <x:f>P116-Q116</x:f>
        <x:v>432.5</x:v>
      </x:c>
      <x:c r="S116" s="16" t="n">
        <x:f>IFERROR(R116/P116,0)</x:f>
        <x:v>0.2609351432880845</x:v>
      </x:c>
    </x:row>
    <x:row r="117" ht="15" hidden="0" customHeight="1">
      <x:c r="A117" t="str">
        <x:f>Raw_Orders!A117</x:f>
        <x:v>O0116</x:v>
      </x:c>
      <x:c r="B117" s="10" t="n">
        <x:f>Raw_Orders!B117</x:f>
        <x:v>45952</x:v>
      </x:c>
      <x:c r="C117" t="str">
        <x:f>Raw_Orders!C117</x:f>
        <x:v>C049</x:v>
      </x:c>
      <x:c r="D117" t="str">
        <x:f>INDEX(Customers!$B$2:$B$81,MATCH(C117,Customers!$A$2:$A$81,0))</x:f>
        <x:v>Customer 49</x:v>
      </x:c>
      <x:c r="E117" t="str">
        <x:f>INDEX(Customers!$C$2:$C$81,MATCH(C117,Customers!$A$2:$A$81,0))</x:f>
        <x:v>Consumer</x:v>
      </x:c>
      <x:c r="F117" t="str">
        <x:f>INDEX(Customers!$D$2:$D$81,MATCH(C117,Customers!$A$2:$A$81,0))</x:f>
        <x:v>North</x:v>
      </x:c>
      <x:c r="G117" t="str">
        <x:f>Raw_Orders!D117</x:f>
        <x:v>P008</x:v>
      </x:c>
      <x:c r="H117" t="str">
        <x:f>INDEX(Products!$B$2:$B$13,MATCH(G117,Products!$A$2:$A$13,0))</x:f>
        <x:v>Webcam</x:v>
      </x:c>
      <x:c r="I117" t="str">
        <x:f>INDEX(Products!$C$2:$C$13,MATCH(G117,Products!$A$2:$A$13,0))</x:f>
        <x:v>Accessories</x:v>
      </x:c>
      <x:c r="J117" t="str">
        <x:f>Raw_Orders!G117</x:f>
        <x:v>Retail</x:v>
      </x:c>
      <x:c r="K117" t="n">
        <x:f>Raw_Orders!E117</x:f>
        <x:v>1</x:v>
      </x:c>
      <x:c r="L117" s="12" t="n">
        <x:f>Raw_Orders!F117</x:f>
        <x:v>0</x:v>
      </x:c>
      <x:c r="M117" s="14" t="n">
        <x:f>INDEX(Products!$D$2:$D$13,MATCH(G117,Products!$A$2:$A$13,0))</x:f>
        <x:v>95</x:v>
      </x:c>
      <x:c r="N117" s="14" t="n">
        <x:f>INDEX(Products!$E$2:$E$13,MATCH(G117,Products!$A$2:$A$13,0))</x:f>
        <x:v>49</x:v>
      </x:c>
      <x:c r="O117" s="14" t="n">
        <x:f>K117*M117</x:f>
        <x:v>95</x:v>
      </x:c>
      <x:c r="P117" s="14" t="n">
        <x:f>O117*(1-L117)</x:f>
        <x:v>95</x:v>
      </x:c>
      <x:c r="Q117" s="14" t="n">
        <x:f>K117*N117</x:f>
        <x:v>49</x:v>
      </x:c>
      <x:c r="R117" s="14" t="n">
        <x:f>P117-Q117</x:f>
        <x:v>46</x:v>
      </x:c>
      <x:c r="S117" s="16" t="n">
        <x:f>IFERROR(R117/P117,0)</x:f>
        <x:v>0.4842105263157895</x:v>
      </x:c>
    </x:row>
    <x:row r="118" ht="15" hidden="0" customHeight="1">
      <x:c r="A118" t="str">
        <x:f>Raw_Orders!A118</x:f>
        <x:v>O0117</x:v>
      </x:c>
      <x:c r="B118" s="10" t="n">
        <x:f>Raw_Orders!B118</x:f>
        <x:v>45857</x:v>
      </x:c>
      <x:c r="C118" t="str">
        <x:f>Raw_Orders!C118</x:f>
        <x:v>C054</x:v>
      </x:c>
      <x:c r="D118" t="str">
        <x:f>INDEX(Customers!$B$2:$B$81,MATCH(C118,Customers!$A$2:$A$81,0))</x:f>
        <x:v>Customer 54</x:v>
      </x:c>
      <x:c r="E118" t="str">
        <x:f>INDEX(Customers!$C$2:$C$81,MATCH(C118,Customers!$A$2:$A$81,0))</x:f>
        <x:v>Small Business</x:v>
      </x:c>
      <x:c r="F118" t="str">
        <x:f>INDEX(Customers!$D$2:$D$81,MATCH(C118,Customers!$A$2:$A$81,0))</x:f>
        <x:v>South</x:v>
      </x:c>
      <x:c r="G118" t="str">
        <x:f>Raw_Orders!D118</x:f>
        <x:v>P009</x:v>
      </x:c>
      <x:c r="H118" t="str">
        <x:f>INDEX(Products!$B$2:$B$13,MATCH(G118,Products!$A$2:$A$13,0))</x:f>
        <x:v>Desk Lamp</x:v>
      </x:c>
      <x:c r="I118" t="str">
        <x:f>INDEX(Products!$C$2:$C$13,MATCH(G118,Products!$A$2:$A$13,0))</x:f>
        <x:v>Office</x:v>
      </x:c>
      <x:c r="J118" t="str">
        <x:f>Raw_Orders!G118</x:f>
        <x:v>Partner</x:v>
      </x:c>
      <x:c r="K118" t="n">
        <x:f>Raw_Orders!E118</x:f>
        <x:v>6</x:v>
      </x:c>
      <x:c r="L118" s="12" t="n">
        <x:f>Raw_Orders!F118</x:f>
        <x:v>0.15</x:v>
      </x:c>
      <x:c r="M118" s="14" t="n">
        <x:f>INDEX(Products!$D$2:$D$13,MATCH(G118,Products!$A$2:$A$13,0))</x:f>
        <x:v>70</x:v>
      </x:c>
      <x:c r="N118" s="14" t="n">
        <x:f>INDEX(Products!$E$2:$E$13,MATCH(G118,Products!$A$2:$A$13,0))</x:f>
        <x:v>29</x:v>
      </x:c>
      <x:c r="O118" s="14" t="n">
        <x:f>K118*M118</x:f>
        <x:v>420</x:v>
      </x:c>
      <x:c r="P118" s="14" t="n">
        <x:f>O118*(1-L118)</x:f>
        <x:v>357</x:v>
      </x:c>
      <x:c r="Q118" s="14" t="n">
        <x:f>K118*N118</x:f>
        <x:v>174</x:v>
      </x:c>
      <x:c r="R118" s="14" t="n">
        <x:f>P118-Q118</x:f>
        <x:v>183</x:v>
      </x:c>
      <x:c r="S118" s="16" t="n">
        <x:f>IFERROR(R118/P118,0)</x:f>
        <x:v>0.5126050420168067</x:v>
      </x:c>
    </x:row>
    <x:row r="119" ht="15" hidden="0" customHeight="1">
      <x:c r="A119" t="str">
        <x:f>Raw_Orders!A119</x:f>
        <x:v>O0118</x:v>
      </x:c>
      <x:c r="B119" s="10" t="n">
        <x:f>Raw_Orders!B119</x:f>
        <x:v>45966</x:v>
      </x:c>
      <x:c r="C119" t="str">
        <x:f>Raw_Orders!C119</x:f>
        <x:v>C029</x:v>
      </x:c>
      <x:c r="D119" t="str">
        <x:f>INDEX(Customers!$B$2:$B$81,MATCH(C119,Customers!$A$2:$A$81,0))</x:f>
        <x:v>Customer 29</x:v>
      </x:c>
      <x:c r="E119" t="str">
        <x:f>INDEX(Customers!$C$2:$C$81,MATCH(C119,Customers!$A$2:$A$81,0))</x:f>
        <x:v>Corporate</x:v>
      </x:c>
      <x:c r="F119" t="str">
        <x:f>INDEX(Customers!$D$2:$D$81,MATCH(C119,Customers!$A$2:$A$81,0))</x:f>
        <x:v>North</x:v>
      </x:c>
      <x:c r="G119" t="str">
        <x:f>Raw_Orders!D119</x:f>
        <x:v>P008</x:v>
      </x:c>
      <x:c r="H119" t="str">
        <x:f>INDEX(Products!$B$2:$B$13,MATCH(G119,Products!$A$2:$A$13,0))</x:f>
        <x:v>Webcam</x:v>
      </x:c>
      <x:c r="I119" t="str">
        <x:f>INDEX(Products!$C$2:$C$13,MATCH(G119,Products!$A$2:$A$13,0))</x:f>
        <x:v>Accessories</x:v>
      </x:c>
      <x:c r="J119" t="str">
        <x:f>Raw_Orders!G119</x:f>
        <x:v>Retail</x:v>
      </x:c>
      <x:c r="K119" t="n">
        <x:f>Raw_Orders!E119</x:f>
        <x:v>2</x:v>
      </x:c>
      <x:c r="L119" s="12" t="n">
        <x:f>Raw_Orders!F119</x:f>
        <x:v>0</x:v>
      </x:c>
      <x:c r="M119" s="14" t="n">
        <x:f>INDEX(Products!$D$2:$D$13,MATCH(G119,Products!$A$2:$A$13,0))</x:f>
        <x:v>95</x:v>
      </x:c>
      <x:c r="N119" s="14" t="n">
        <x:f>INDEX(Products!$E$2:$E$13,MATCH(G119,Products!$A$2:$A$13,0))</x:f>
        <x:v>49</x:v>
      </x:c>
      <x:c r="O119" s="14" t="n">
        <x:f>K119*M119</x:f>
        <x:v>190</x:v>
      </x:c>
      <x:c r="P119" s="14" t="n">
        <x:f>O119*(1-L119)</x:f>
        <x:v>190</x:v>
      </x:c>
      <x:c r="Q119" s="14" t="n">
        <x:f>K119*N119</x:f>
        <x:v>98</x:v>
      </x:c>
      <x:c r="R119" s="14" t="n">
        <x:f>P119-Q119</x:f>
        <x:v>92</x:v>
      </x:c>
      <x:c r="S119" s="16" t="n">
        <x:f>IFERROR(R119/P119,0)</x:f>
        <x:v>0.4842105263157895</x:v>
      </x:c>
    </x:row>
    <x:row r="120" ht="15" hidden="0" customHeight="1">
      <x:c r="A120" t="str">
        <x:f>Raw_Orders!A120</x:f>
        <x:v>O0119</x:v>
      </x:c>
      <x:c r="B120" s="10" t="n">
        <x:f>Raw_Orders!B120</x:f>
        <x:v>45906</x:v>
      </x:c>
      <x:c r="C120" t="str">
        <x:f>Raw_Orders!C120</x:f>
        <x:v>C004</x:v>
      </x:c>
      <x:c r="D120" t="str">
        <x:f>INDEX(Customers!$B$2:$B$81,MATCH(C120,Customers!$A$2:$A$81,0))</x:f>
        <x:v>Customer 04</x:v>
      </x:c>
      <x:c r="E120" t="str">
        <x:f>INDEX(Customers!$C$2:$C$81,MATCH(C120,Customers!$A$2:$A$81,0))</x:f>
        <x:v>Consumer</x:v>
      </x:c>
      <x:c r="F120" t="str">
        <x:f>INDEX(Customers!$D$2:$D$81,MATCH(C120,Customers!$A$2:$A$81,0))</x:f>
        <x:v>West</x:v>
      </x:c>
      <x:c r="G120" t="str">
        <x:f>Raw_Orders!D120</x:f>
        <x:v>P007</x:v>
      </x:c>
      <x:c r="H120" t="str">
        <x:f>INDEX(Products!$B$2:$B$13,MATCH(G120,Products!$A$2:$A$13,0))</x:f>
        <x:v>Ergonomic Chair</x:v>
      </x:c>
      <x:c r="I120" t="str">
        <x:f>INDEX(Products!$C$2:$C$13,MATCH(G120,Products!$A$2:$A$13,0))</x:f>
        <x:v>Office</x:v>
      </x:c>
      <x:c r="J120" t="str">
        <x:f>Raw_Orders!G120</x:f>
        <x:v>Partner</x:v>
      </x:c>
      <x:c r="K120" t="n">
        <x:f>Raw_Orders!E120</x:f>
        <x:v>3</x:v>
      </x:c>
      <x:c r="L120" s="12" t="n">
        <x:f>Raw_Orders!F120</x:f>
        <x:v>0.15</x:v>
      </x:c>
      <x:c r="M120" s="14" t="n">
        <x:f>INDEX(Products!$D$2:$D$13,MATCH(G120,Products!$A$2:$A$13,0))</x:f>
        <x:v>390</x:v>
      </x:c>
      <x:c r="N120" s="14" t="n">
        <x:f>INDEX(Products!$E$2:$E$13,MATCH(G120,Products!$A$2:$A$13,0))</x:f>
        <x:v>245</x:v>
      </x:c>
      <x:c r="O120" s="14" t="n">
        <x:f>K120*M120</x:f>
        <x:v>1170</x:v>
      </x:c>
      <x:c r="P120" s="14" t="n">
        <x:f>O120*(1-L120)</x:f>
        <x:v>994.5</x:v>
      </x:c>
      <x:c r="Q120" s="14" t="n">
        <x:f>K120*N120</x:f>
        <x:v>735</x:v>
      </x:c>
      <x:c r="R120" s="14" t="n">
        <x:f>P120-Q120</x:f>
        <x:v>259.5</x:v>
      </x:c>
      <x:c r="S120" s="16" t="n">
        <x:f>IFERROR(R120/P120,0)</x:f>
        <x:v>0.2609351432880845</x:v>
      </x:c>
    </x:row>
    <x:row r="121" ht="15" hidden="0" customHeight="1">
      <x:c r="A121" t="str">
        <x:f>Raw_Orders!A121</x:f>
        <x:v>O0120</x:v>
      </x:c>
      <x:c r="B121" s="10" t="n">
        <x:f>Raw_Orders!B121</x:f>
        <x:v>45865</x:v>
      </x:c>
      <x:c r="C121" t="str">
        <x:f>Raw_Orders!C121</x:f>
        <x:v>C022</x:v>
      </x:c>
      <x:c r="D121" t="str">
        <x:f>INDEX(Customers!$B$2:$B$81,MATCH(C121,Customers!$A$2:$A$81,0))</x:f>
        <x:v>Customer 22</x:v>
      </x:c>
      <x:c r="E121" t="str">
        <x:f>INDEX(Customers!$C$2:$C$81,MATCH(C121,Customers!$A$2:$A$81,0))</x:f>
        <x:v>Consumer</x:v>
      </x:c>
      <x:c r="F121" t="str">
        <x:f>INDEX(Customers!$D$2:$D$81,MATCH(C121,Customers!$A$2:$A$81,0))</x:f>
        <x:v>South</x:v>
      </x:c>
      <x:c r="G121" t="str">
        <x:f>Raw_Orders!D121</x:f>
        <x:v>P008</x:v>
      </x:c>
      <x:c r="H121" t="str">
        <x:f>INDEX(Products!$B$2:$B$13,MATCH(G121,Products!$A$2:$A$13,0))</x:f>
        <x:v>Webcam</x:v>
      </x:c>
      <x:c r="I121" t="str">
        <x:f>INDEX(Products!$C$2:$C$13,MATCH(G121,Products!$A$2:$A$13,0))</x:f>
        <x:v>Accessories</x:v>
      </x:c>
      <x:c r="J121" t="str">
        <x:f>Raw_Orders!G121</x:f>
        <x:v>Partner</x:v>
      </x:c>
      <x:c r="K121" t="n">
        <x:f>Raw_Orders!E121</x:f>
        <x:v>2</x:v>
      </x:c>
      <x:c r="L121" s="12" t="n">
        <x:f>Raw_Orders!F121</x:f>
        <x:v>0.1</x:v>
      </x:c>
      <x:c r="M121" s="14" t="n">
        <x:f>INDEX(Products!$D$2:$D$13,MATCH(G121,Products!$A$2:$A$13,0))</x:f>
        <x:v>95</x:v>
      </x:c>
      <x:c r="N121" s="14" t="n">
        <x:f>INDEX(Products!$E$2:$E$13,MATCH(G121,Products!$A$2:$A$13,0))</x:f>
        <x:v>49</x:v>
      </x:c>
      <x:c r="O121" s="14" t="n">
        <x:f>K121*M121</x:f>
        <x:v>190</x:v>
      </x:c>
      <x:c r="P121" s="14" t="n">
        <x:f>O121*(1-L121)</x:f>
        <x:v>171</x:v>
      </x:c>
      <x:c r="Q121" s="14" t="n">
        <x:f>K121*N121</x:f>
        <x:v>98</x:v>
      </x:c>
      <x:c r="R121" s="14" t="n">
        <x:f>P121-Q121</x:f>
        <x:v>73</x:v>
      </x:c>
      <x:c r="S121" s="16" t="n">
        <x:f>IFERROR(R121/P121,0)</x:f>
        <x:v>0.4269005847953216</x:v>
      </x:c>
    </x:row>
    <x:row r="122" ht="15" hidden="0" customHeight="1">
      <x:c r="A122" t="str">
        <x:f>Raw_Orders!A122</x:f>
        <x:v>O0121</x:v>
      </x:c>
      <x:c r="B122" s="10" t="n">
        <x:f>Raw_Orders!B122</x:f>
        <x:v>45671</x:v>
      </x:c>
      <x:c r="C122" t="str">
        <x:f>Raw_Orders!C122</x:f>
        <x:v>C051</x:v>
      </x:c>
      <x:c r="D122" t="str">
        <x:f>INDEX(Customers!$B$2:$B$81,MATCH(C122,Customers!$A$2:$A$81,0))</x:f>
        <x:v>Customer 51</x:v>
      </x:c>
      <x:c r="E122" t="str">
        <x:f>INDEX(Customers!$C$2:$C$81,MATCH(C122,Customers!$A$2:$A$81,0))</x:f>
        <x:v>Small Business</x:v>
      </x:c>
      <x:c r="F122" t="str">
        <x:f>INDEX(Customers!$D$2:$D$81,MATCH(C122,Customers!$A$2:$A$81,0))</x:f>
        <x:v>East</x:v>
      </x:c>
      <x:c r="G122" t="str">
        <x:f>Raw_Orders!D122</x:f>
        <x:v>P010</x:v>
      </x:c>
      <x:c r="H122" t="str">
        <x:f>INDEX(Products!$B$2:$B$13,MATCH(G122,Products!$A$2:$A$13,0))</x:f>
        <x:v>Portable SSD</x:v>
      </x:c>
      <x:c r="I122" t="str">
        <x:f>INDEX(Products!$C$2:$C$13,MATCH(G122,Products!$A$2:$A$13,0))</x:f>
        <x:v>Storage</x:v>
      </x:c>
      <x:c r="J122" t="str">
        <x:f>Raw_Orders!G122</x:f>
        <x:v>Online</x:v>
      </x:c>
      <x:c r="K122" t="n">
        <x:f>Raw_Orders!E122</x:f>
        <x:v>5</x:v>
      </x:c>
      <x:c r="L122" s="12" t="n">
        <x:f>Raw_Orders!F122</x:f>
        <x:v>0.15</x:v>
      </x:c>
      <x:c r="M122" s="14" t="n">
        <x:f>INDEX(Products!$D$2:$D$13,MATCH(G122,Products!$A$2:$A$13,0))</x:f>
        <x:v>145</x:v>
      </x:c>
      <x:c r="N122" s="14" t="n">
        <x:f>INDEX(Products!$E$2:$E$13,MATCH(G122,Products!$A$2:$A$13,0))</x:f>
        <x:v>86</x:v>
      </x:c>
      <x:c r="O122" s="14" t="n">
        <x:f>K122*M122</x:f>
        <x:v>725</x:v>
      </x:c>
      <x:c r="P122" s="14" t="n">
        <x:f>O122*(1-L122)</x:f>
        <x:v>616.25</x:v>
      </x:c>
      <x:c r="Q122" s="14" t="n">
        <x:f>K122*N122</x:f>
        <x:v>430</x:v>
      </x:c>
      <x:c r="R122" s="14" t="n">
        <x:f>P122-Q122</x:f>
        <x:v>186.25</x:v>
      </x:c>
      <x:c r="S122" s="16" t="n">
        <x:f>IFERROR(R122/P122,0)</x:f>
        <x:v>0.3022312373225152</x:v>
      </x:c>
    </x:row>
    <x:row r="123" ht="15" hidden="0" customHeight="1">
      <x:c r="A123" t="str">
        <x:f>Raw_Orders!A123</x:f>
        <x:v>O0122</x:v>
      </x:c>
      <x:c r="B123" s="10" t="n">
        <x:f>Raw_Orders!B123</x:f>
        <x:v>45700</x:v>
      </x:c>
      <x:c r="C123" t="str">
        <x:f>Raw_Orders!C123</x:f>
        <x:v>C055</x:v>
      </x:c>
      <x:c r="D123" t="str">
        <x:f>INDEX(Customers!$B$2:$B$81,MATCH(C123,Customers!$A$2:$A$81,0))</x:f>
        <x:v>Customer 55</x:v>
      </x:c>
      <x:c r="E123" t="str">
        <x:f>INDEX(Customers!$C$2:$C$81,MATCH(C123,Customers!$A$2:$A$81,0))</x:f>
        <x:v>Consumer</x:v>
      </x:c>
      <x:c r="F123" t="str">
        <x:f>INDEX(Customers!$D$2:$D$81,MATCH(C123,Customers!$A$2:$A$81,0))</x:f>
        <x:v>East</x:v>
      </x:c>
      <x:c r="G123" t="str">
        <x:f>Raw_Orders!D123</x:f>
        <x:v>P003</x:v>
      </x:c>
      <x:c r="H123" t="str">
        <x:f>INDEX(Products!$B$2:$B$13,MATCH(G123,Products!$A$2:$A$13,0))</x:f>
        <x:v>USB-C Hub</x:v>
      </x:c>
      <x:c r="I123" t="str">
        <x:f>INDEX(Products!$C$2:$C$13,MATCH(G123,Products!$A$2:$A$13,0))</x:f>
        <x:v>Accessories</x:v>
      </x:c>
      <x:c r="J123" t="str">
        <x:f>Raw_Orders!G123</x:f>
        <x:v>Online</x:v>
      </x:c>
      <x:c r="K123" t="n">
        <x:f>Raw_Orders!E123</x:f>
        <x:v>4</x:v>
      </x:c>
      <x:c r="L123" s="12" t="n">
        <x:f>Raw_Orders!F123</x:f>
        <x:v>0</x:v>
      </x:c>
      <x:c r="M123" s="14" t="n">
        <x:f>INDEX(Products!$D$2:$D$13,MATCH(G123,Products!$A$2:$A$13,0))</x:f>
        <x:v>65</x:v>
      </x:c>
      <x:c r="N123" s="14" t="n">
        <x:f>INDEX(Products!$E$2:$E$13,MATCH(G123,Products!$A$2:$A$13,0))</x:f>
        <x:v>31</x:v>
      </x:c>
      <x:c r="O123" s="14" t="n">
        <x:f>K123*M123</x:f>
        <x:v>260</x:v>
      </x:c>
      <x:c r="P123" s="14" t="n">
        <x:f>O123*(1-L123)</x:f>
        <x:v>260</x:v>
      </x:c>
      <x:c r="Q123" s="14" t="n">
        <x:f>K123*N123</x:f>
        <x:v>124</x:v>
      </x:c>
      <x:c r="R123" s="14" t="n">
        <x:f>P123-Q123</x:f>
        <x:v>136</x:v>
      </x:c>
      <x:c r="S123" s="16" t="n">
        <x:f>IFERROR(R123/P123,0)</x:f>
        <x:v>0.5230769230769231</x:v>
      </x:c>
    </x:row>
    <x:row r="124" ht="15" hidden="0" customHeight="1">
      <x:c r="A124" t="str">
        <x:f>Raw_Orders!A124</x:f>
        <x:v>O0123</x:v>
      </x:c>
      <x:c r="B124" s="10" t="n">
        <x:f>Raw_Orders!B124</x:f>
        <x:v>45791</x:v>
      </x:c>
      <x:c r="C124" t="str">
        <x:f>Raw_Orders!C124</x:f>
        <x:v>C049</x:v>
      </x:c>
      <x:c r="D124" t="str">
        <x:f>INDEX(Customers!$B$2:$B$81,MATCH(C124,Customers!$A$2:$A$81,0))</x:f>
        <x:v>Customer 49</x:v>
      </x:c>
      <x:c r="E124" t="str">
        <x:f>INDEX(Customers!$C$2:$C$81,MATCH(C124,Customers!$A$2:$A$81,0))</x:f>
        <x:v>Consumer</x:v>
      </x:c>
      <x:c r="F124" t="str">
        <x:f>INDEX(Customers!$D$2:$D$81,MATCH(C124,Customers!$A$2:$A$81,0))</x:f>
        <x:v>North</x:v>
      </x:c>
      <x:c r="G124" t="str">
        <x:f>Raw_Orders!D124</x:f>
        <x:v>P006</x:v>
      </x:c>
      <x:c r="H124" t="str">
        <x:f>INDEX(Products!$B$2:$B$13,MATCH(G124,Products!$A$2:$A$13,0))</x:f>
        <x:v>Laptop Stand</x:v>
      </x:c>
      <x:c r="I124" t="str">
        <x:f>INDEX(Products!$C$2:$C$13,MATCH(G124,Products!$A$2:$A$13,0))</x:f>
        <x:v>Office</x:v>
      </x:c>
      <x:c r="J124" t="str">
        <x:f>Raw_Orders!G124</x:f>
        <x:v>Retail</x:v>
      </x:c>
      <x:c r="K124" t="n">
        <x:f>Raw_Orders!E124</x:f>
        <x:v>2</x:v>
      </x:c>
      <x:c r="L124" s="12" t="n">
        <x:f>Raw_Orders!F124</x:f>
        <x:v>0.05</x:v>
      </x:c>
      <x:c r="M124" s="14" t="n">
        <x:f>INDEX(Products!$D$2:$D$13,MATCH(G124,Products!$A$2:$A$13,0))</x:f>
        <x:v>55</x:v>
      </x:c>
      <x:c r="N124" s="14" t="n">
        <x:f>INDEX(Products!$E$2:$E$13,MATCH(G124,Products!$A$2:$A$13,0))</x:f>
        <x:v>24</x:v>
      </x:c>
      <x:c r="O124" s="14" t="n">
        <x:f>K124*M124</x:f>
        <x:v>110</x:v>
      </x:c>
      <x:c r="P124" s="14" t="n">
        <x:f>O124*(1-L124)</x:f>
        <x:v>104.5</x:v>
      </x:c>
      <x:c r="Q124" s="14" t="n">
        <x:f>K124*N124</x:f>
        <x:v>48</x:v>
      </x:c>
      <x:c r="R124" s="14" t="n">
        <x:f>P124-Q124</x:f>
        <x:v>56.5</x:v>
      </x:c>
      <x:c r="S124" s="16" t="n">
        <x:f>IFERROR(R124/P124,0)</x:f>
        <x:v>0.5406698564593302</x:v>
      </x:c>
    </x:row>
    <x:row r="125" ht="15" hidden="0" customHeight="1">
      <x:c r="A125" t="str">
        <x:f>Raw_Orders!A125</x:f>
        <x:v>O0124</x:v>
      </x:c>
      <x:c r="B125" s="10" t="n">
        <x:f>Raw_Orders!B125</x:f>
        <x:v>45830</x:v>
      </x:c>
      <x:c r="C125" t="str">
        <x:f>Raw_Orders!C125</x:f>
        <x:v>C049</x:v>
      </x:c>
      <x:c r="D125" t="str">
        <x:f>INDEX(Customers!$B$2:$B$81,MATCH(C125,Customers!$A$2:$A$81,0))</x:f>
        <x:v>Customer 49</x:v>
      </x:c>
      <x:c r="E125" t="str">
        <x:f>INDEX(Customers!$C$2:$C$81,MATCH(C125,Customers!$A$2:$A$81,0))</x:f>
        <x:v>Consumer</x:v>
      </x:c>
      <x:c r="F125" t="str">
        <x:f>INDEX(Customers!$D$2:$D$81,MATCH(C125,Customers!$A$2:$A$81,0))</x:f>
        <x:v>North</x:v>
      </x:c>
      <x:c r="G125" t="str">
        <x:f>Raw_Orders!D125</x:f>
        <x:v>P005</x:v>
      </x:c>
      <x:c r="H125" t="str">
        <x:f>INDEX(Products!$B$2:$B$13,MATCH(G125,Products!$A$2:$A$13,0))</x:f>
        <x:v>27in Monitor</x:v>
      </x:c>
      <x:c r="I125" t="str">
        <x:f>INDEX(Products!$C$2:$C$13,MATCH(G125,Products!$A$2:$A$13,0))</x:f>
        <x:v>Displays</x:v>
      </x:c>
      <x:c r="J125" t="str">
        <x:f>Raw_Orders!G125</x:f>
        <x:v>Online</x:v>
      </x:c>
      <x:c r="K125" t="n">
        <x:f>Raw_Orders!E125</x:f>
        <x:v>4</x:v>
      </x:c>
      <x:c r="L125" s="12" t="n">
        <x:f>Raw_Orders!F125</x:f>
        <x:v>0</x:v>
      </x:c>
      <x:c r="M125" s="14" t="n">
        <x:f>INDEX(Products!$D$2:$D$13,MATCH(G125,Products!$A$2:$A$13,0))</x:f>
        <x:v>310</x:v>
      </x:c>
      <x:c r="N125" s="14" t="n">
        <x:f>INDEX(Products!$E$2:$E$13,MATCH(G125,Products!$A$2:$A$13,0))</x:f>
        <x:v>205</x:v>
      </x:c>
      <x:c r="O125" s="14" t="n">
        <x:f>K125*M125</x:f>
        <x:v>1240</x:v>
      </x:c>
      <x:c r="P125" s="14" t="n">
        <x:f>O125*(1-L125)</x:f>
        <x:v>1240</x:v>
      </x:c>
      <x:c r="Q125" s="14" t="n">
        <x:f>K125*N125</x:f>
        <x:v>820</x:v>
      </x:c>
      <x:c r="R125" s="14" t="n">
        <x:f>P125-Q125</x:f>
        <x:v>420</x:v>
      </x:c>
      <x:c r="S125" s="16" t="n">
        <x:f>IFERROR(R125/P125,0)</x:f>
        <x:v>0.3387096774193548</x:v>
      </x:c>
    </x:row>
    <x:row r="126" ht="15" hidden="0" customHeight="1">
      <x:c r="A126" t="str">
        <x:f>Raw_Orders!A126</x:f>
        <x:v>O0125</x:v>
      </x:c>
      <x:c r="B126" s="10" t="n">
        <x:f>Raw_Orders!B126</x:f>
        <x:v>45898</x:v>
      </x:c>
      <x:c r="C126" t="str">
        <x:f>Raw_Orders!C126</x:f>
        <x:v>C003</x:v>
      </x:c>
      <x:c r="D126" t="str">
        <x:f>INDEX(Customers!$B$2:$B$81,MATCH(C126,Customers!$A$2:$A$81,0))</x:f>
        <x:v>Customer 03</x:v>
      </x:c>
      <x:c r="E126" t="str">
        <x:f>INDEX(Customers!$C$2:$C$81,MATCH(C126,Customers!$A$2:$A$81,0))</x:f>
        <x:v>Small Business</x:v>
      </x:c>
      <x:c r="F126" t="str">
        <x:f>INDEX(Customers!$D$2:$D$81,MATCH(C126,Customers!$A$2:$A$81,0))</x:f>
        <x:v>East</x:v>
      </x:c>
      <x:c r="G126" t="str">
        <x:f>Raw_Orders!D126</x:f>
        <x:v>P012</x:v>
      </x:c>
      <x:c r="H126" t="str">
        <x:f>INDEX(Products!$B$2:$B$13,MATCH(G126,Products!$A$2:$A$13,0))</x:f>
        <x:v>Docking Station</x:v>
      </x:c>
      <x:c r="I126" t="str">
        <x:f>INDEX(Products!$C$2:$C$13,MATCH(G126,Products!$A$2:$A$13,0))</x:f>
        <x:v>Accessories</x:v>
      </x:c>
      <x:c r="J126" t="str">
        <x:f>Raw_Orders!G126</x:f>
        <x:v>Retail</x:v>
      </x:c>
      <x:c r="K126" t="n">
        <x:f>Raw_Orders!E126</x:f>
        <x:v>5</x:v>
      </x:c>
      <x:c r="L126" s="12" t="n">
        <x:f>Raw_Orders!F126</x:f>
        <x:v>0</x:v>
      </x:c>
      <x:c r="M126" s="14" t="n">
        <x:f>INDEX(Products!$D$2:$D$13,MATCH(G126,Products!$A$2:$A$13,0))</x:f>
        <x:v>180</x:v>
      </x:c>
      <x:c r="N126" s="14" t="n">
        <x:f>INDEX(Products!$E$2:$E$13,MATCH(G126,Products!$A$2:$A$13,0))</x:f>
        <x:v>104</x:v>
      </x:c>
      <x:c r="O126" s="14" t="n">
        <x:f>K126*M126</x:f>
        <x:v>900</x:v>
      </x:c>
      <x:c r="P126" s="14" t="n">
        <x:f>O126*(1-L126)</x:f>
        <x:v>900</x:v>
      </x:c>
      <x:c r="Q126" s="14" t="n">
        <x:f>K126*N126</x:f>
        <x:v>520</x:v>
      </x:c>
      <x:c r="R126" s="14" t="n">
        <x:f>P126-Q126</x:f>
        <x:v>380</x:v>
      </x:c>
      <x:c r="S126" s="16" t="n">
        <x:f>IFERROR(R126/P126,0)</x:f>
        <x:v>0.4222222222222222</x:v>
      </x:c>
    </x:row>
    <x:row r="127" ht="15" hidden="0" customHeight="1">
      <x:c r="A127" t="str">
        <x:f>Raw_Orders!A127</x:f>
        <x:v>O0126</x:v>
      </x:c>
      <x:c r="B127" s="10" t="n">
        <x:f>Raw_Orders!B127</x:f>
        <x:v>45772</x:v>
      </x:c>
      <x:c r="C127" t="str">
        <x:f>Raw_Orders!C127</x:f>
        <x:v>C009</x:v>
      </x:c>
      <x:c r="D127" t="str">
        <x:f>INDEX(Customers!$B$2:$B$81,MATCH(C127,Customers!$A$2:$A$81,0))</x:f>
        <x:v>Customer 09</x:v>
      </x:c>
      <x:c r="E127" t="str">
        <x:f>INDEX(Customers!$C$2:$C$81,MATCH(C127,Customers!$A$2:$A$81,0))</x:f>
        <x:v>Small Business</x:v>
      </x:c>
      <x:c r="F127" t="str">
        <x:f>INDEX(Customers!$D$2:$D$81,MATCH(C127,Customers!$A$2:$A$81,0))</x:f>
        <x:v>North</x:v>
      </x:c>
      <x:c r="G127" t="str">
        <x:f>Raw_Orders!D127</x:f>
        <x:v>P011</x:v>
      </x:c>
      <x:c r="H127" t="str">
        <x:f>INDEX(Products!$B$2:$B$13,MATCH(G127,Products!$A$2:$A$13,0))</x:f>
        <x:v>External HDD</x:v>
      </x:c>
      <x:c r="I127" t="str">
        <x:f>INDEX(Products!$C$2:$C$13,MATCH(G127,Products!$A$2:$A$13,0))</x:f>
        <x:v>Storage</x:v>
      </x:c>
      <x:c r="J127" t="str">
        <x:f>Raw_Orders!G127</x:f>
        <x:v>Online</x:v>
      </x:c>
      <x:c r="K127" t="n">
        <x:f>Raw_Orders!E127</x:f>
        <x:v>1</x:v>
      </x:c>
      <x:c r="L127" s="12" t="n">
        <x:f>Raw_Orders!F127</x:f>
        <x:v>0</x:v>
      </x:c>
      <x:c r="M127" s="14" t="n">
        <x:f>INDEX(Products!$D$2:$D$13,MATCH(G127,Products!$A$2:$A$13,0))</x:f>
        <x:v>120</x:v>
      </x:c>
      <x:c r="N127" s="14" t="n">
        <x:f>INDEX(Products!$E$2:$E$13,MATCH(G127,Products!$A$2:$A$13,0))</x:f>
        <x:v>72</x:v>
      </x:c>
      <x:c r="O127" s="14" t="n">
        <x:f>K127*M127</x:f>
        <x:v>120</x:v>
      </x:c>
      <x:c r="P127" s="14" t="n">
        <x:f>O127*(1-L127)</x:f>
        <x:v>120</x:v>
      </x:c>
      <x:c r="Q127" s="14" t="n">
        <x:f>K127*N127</x:f>
        <x:v>72</x:v>
      </x:c>
      <x:c r="R127" s="14" t="n">
        <x:f>P127-Q127</x:f>
        <x:v>48</x:v>
      </x:c>
      <x:c r="S127" s="16" t="n">
        <x:f>IFERROR(R127/P127,0)</x:f>
        <x:v>0.4</x:v>
      </x:c>
    </x:row>
    <x:row r="128" ht="15" hidden="0" customHeight="1">
      <x:c r="A128" t="str">
        <x:f>Raw_Orders!A128</x:f>
        <x:v>O0127</x:v>
      </x:c>
      <x:c r="B128" s="10" t="n">
        <x:f>Raw_Orders!B128</x:f>
        <x:v>45760</x:v>
      </x:c>
      <x:c r="C128" t="str">
        <x:f>Raw_Orders!C128</x:f>
        <x:v>C003</x:v>
      </x:c>
      <x:c r="D128" t="str">
        <x:f>INDEX(Customers!$B$2:$B$81,MATCH(C128,Customers!$A$2:$A$81,0))</x:f>
        <x:v>Customer 03</x:v>
      </x:c>
      <x:c r="E128" t="str">
        <x:f>INDEX(Customers!$C$2:$C$81,MATCH(C128,Customers!$A$2:$A$81,0))</x:f>
        <x:v>Small Business</x:v>
      </x:c>
      <x:c r="F128" t="str">
        <x:f>INDEX(Customers!$D$2:$D$81,MATCH(C128,Customers!$A$2:$A$81,0))</x:f>
        <x:v>East</x:v>
      </x:c>
      <x:c r="G128" t="str">
        <x:f>Raw_Orders!D128</x:f>
        <x:v>P010</x:v>
      </x:c>
      <x:c r="H128" t="str">
        <x:f>INDEX(Products!$B$2:$B$13,MATCH(G128,Products!$A$2:$A$13,0))</x:f>
        <x:v>Portable SSD</x:v>
      </x:c>
      <x:c r="I128" t="str">
        <x:f>INDEX(Products!$C$2:$C$13,MATCH(G128,Products!$A$2:$A$13,0))</x:f>
        <x:v>Storage</x:v>
      </x:c>
      <x:c r="J128" t="str">
        <x:f>Raw_Orders!G128</x:f>
        <x:v>Online</x:v>
      </x:c>
      <x:c r="K128" t="n">
        <x:f>Raw_Orders!E128</x:f>
        <x:v>2</x:v>
      </x:c>
      <x:c r="L128" s="12" t="n">
        <x:f>Raw_Orders!F128</x:f>
        <x:v>0</x:v>
      </x:c>
      <x:c r="M128" s="14" t="n">
        <x:f>INDEX(Products!$D$2:$D$13,MATCH(G128,Products!$A$2:$A$13,0))</x:f>
        <x:v>145</x:v>
      </x:c>
      <x:c r="N128" s="14" t="n">
        <x:f>INDEX(Products!$E$2:$E$13,MATCH(G128,Products!$A$2:$A$13,0))</x:f>
        <x:v>86</x:v>
      </x:c>
      <x:c r="O128" s="14" t="n">
        <x:f>K128*M128</x:f>
        <x:v>290</x:v>
      </x:c>
      <x:c r="P128" s="14" t="n">
        <x:f>O128*(1-L128)</x:f>
        <x:v>290</x:v>
      </x:c>
      <x:c r="Q128" s="14" t="n">
        <x:f>K128*N128</x:f>
        <x:v>172</x:v>
      </x:c>
      <x:c r="R128" s="14" t="n">
        <x:f>P128-Q128</x:f>
        <x:v>118</x:v>
      </x:c>
      <x:c r="S128" s="16" t="n">
        <x:f>IFERROR(R128/P128,0)</x:f>
        <x:v>0.4068965517241379</x:v>
      </x:c>
    </x:row>
    <x:row r="129" ht="15" hidden="0" customHeight="1">
      <x:c r="A129" t="str">
        <x:f>Raw_Orders!A129</x:f>
        <x:v>O0128</x:v>
      </x:c>
      <x:c r="B129" s="10" t="n">
        <x:f>Raw_Orders!B129</x:f>
        <x:v>45900</x:v>
      </x:c>
      <x:c r="C129" t="str">
        <x:f>Raw_Orders!C129</x:f>
        <x:v>C015</x:v>
      </x:c>
      <x:c r="D129" t="str">
        <x:f>INDEX(Customers!$B$2:$B$81,MATCH(C129,Customers!$A$2:$A$81,0))</x:f>
        <x:v>Customer 15</x:v>
      </x:c>
      <x:c r="E129" t="str">
        <x:f>INDEX(Customers!$C$2:$C$81,MATCH(C129,Customers!$A$2:$A$81,0))</x:f>
        <x:v>Small Business</x:v>
      </x:c>
      <x:c r="F129" t="str">
        <x:f>INDEX(Customers!$D$2:$D$81,MATCH(C129,Customers!$A$2:$A$81,0))</x:f>
        <x:v>East</x:v>
      </x:c>
      <x:c r="G129" t="str">
        <x:f>Raw_Orders!D129</x:f>
        <x:v>P010</x:v>
      </x:c>
      <x:c r="H129" t="str">
        <x:f>INDEX(Products!$B$2:$B$13,MATCH(G129,Products!$A$2:$A$13,0))</x:f>
        <x:v>Portable SSD</x:v>
      </x:c>
      <x:c r="I129" t="str">
        <x:f>INDEX(Products!$C$2:$C$13,MATCH(G129,Products!$A$2:$A$13,0))</x:f>
        <x:v>Storage</x:v>
      </x:c>
      <x:c r="J129" t="str">
        <x:f>Raw_Orders!G129</x:f>
        <x:v>Partner</x:v>
      </x:c>
      <x:c r="K129" t="n">
        <x:f>Raw_Orders!E129</x:f>
        <x:v>2</x:v>
      </x:c>
      <x:c r="L129" s="12" t="n">
        <x:f>Raw_Orders!F129</x:f>
        <x:v>0.05</x:v>
      </x:c>
      <x:c r="M129" s="14" t="n">
        <x:f>INDEX(Products!$D$2:$D$13,MATCH(G129,Products!$A$2:$A$13,0))</x:f>
        <x:v>145</x:v>
      </x:c>
      <x:c r="N129" s="14" t="n">
        <x:f>INDEX(Products!$E$2:$E$13,MATCH(G129,Products!$A$2:$A$13,0))</x:f>
        <x:v>86</x:v>
      </x:c>
      <x:c r="O129" s="14" t="n">
        <x:f>K129*M129</x:f>
        <x:v>290</x:v>
      </x:c>
      <x:c r="P129" s="14" t="n">
        <x:f>O129*(1-L129)</x:f>
        <x:v>275.5</x:v>
      </x:c>
      <x:c r="Q129" s="14" t="n">
        <x:f>K129*N129</x:f>
        <x:v>172</x:v>
      </x:c>
      <x:c r="R129" s="14" t="n">
        <x:f>P129-Q129</x:f>
        <x:v>103.5</x:v>
      </x:c>
      <x:c r="S129" s="16" t="n">
        <x:f>IFERROR(R129/P129,0)</x:f>
        <x:v>0.37568058076225047</x:v>
      </x:c>
    </x:row>
    <x:row r="130" ht="15" hidden="0" customHeight="1">
      <x:c r="A130" t="str">
        <x:f>Raw_Orders!A130</x:f>
        <x:v>O0129</x:v>
      </x:c>
      <x:c r="B130" s="10" t="n">
        <x:f>Raw_Orders!B130</x:f>
        <x:v>45789</x:v>
      </x:c>
      <x:c r="C130" t="str">
        <x:f>Raw_Orders!C130</x:f>
        <x:v>C048</x:v>
      </x:c>
      <x:c r="D130" t="str">
        <x:f>INDEX(Customers!$B$2:$B$81,MATCH(C130,Customers!$A$2:$A$81,0))</x:f>
        <x:v>Customer 48</x:v>
      </x:c>
      <x:c r="E130" t="str">
        <x:f>INDEX(Customers!$C$2:$C$81,MATCH(C130,Customers!$A$2:$A$81,0))</x:f>
        <x:v>Small Business</x:v>
      </x:c>
      <x:c r="F130" t="str">
        <x:f>INDEX(Customers!$D$2:$D$81,MATCH(C130,Customers!$A$2:$A$81,0))</x:f>
        <x:v>West</x:v>
      </x:c>
      <x:c r="G130" t="str">
        <x:f>Raw_Orders!D130</x:f>
        <x:v>P003</x:v>
      </x:c>
      <x:c r="H130" t="str">
        <x:f>INDEX(Products!$B$2:$B$13,MATCH(G130,Products!$A$2:$A$13,0))</x:f>
        <x:v>USB-C Hub</x:v>
      </x:c>
      <x:c r="I130" t="str">
        <x:f>INDEX(Products!$C$2:$C$13,MATCH(G130,Products!$A$2:$A$13,0))</x:f>
        <x:v>Accessories</x:v>
      </x:c>
      <x:c r="J130" t="str">
        <x:f>Raw_Orders!G130</x:f>
        <x:v>Partner</x:v>
      </x:c>
      <x:c r="K130" t="n">
        <x:f>Raw_Orders!E130</x:f>
        <x:v>5</x:v>
      </x:c>
      <x:c r="L130" s="12" t="n">
        <x:f>Raw_Orders!F130</x:f>
        <x:v>0.1</x:v>
      </x:c>
      <x:c r="M130" s="14" t="n">
        <x:f>INDEX(Products!$D$2:$D$13,MATCH(G130,Products!$A$2:$A$13,0))</x:f>
        <x:v>65</x:v>
      </x:c>
      <x:c r="N130" s="14" t="n">
        <x:f>INDEX(Products!$E$2:$E$13,MATCH(G130,Products!$A$2:$A$13,0))</x:f>
        <x:v>31</x:v>
      </x:c>
      <x:c r="O130" s="14" t="n">
        <x:f>K130*M130</x:f>
        <x:v>325</x:v>
      </x:c>
      <x:c r="P130" s="14" t="n">
        <x:f>O130*(1-L130)</x:f>
        <x:v>292.5</x:v>
      </x:c>
      <x:c r="Q130" s="14" t="n">
        <x:f>K130*N130</x:f>
        <x:v>155</x:v>
      </x:c>
      <x:c r="R130" s="14" t="n">
        <x:f>P130-Q130</x:f>
        <x:v>137.5</x:v>
      </x:c>
      <x:c r="S130" s="16" t="n">
        <x:f>IFERROR(R130/P130,0)</x:f>
        <x:v>0.4700854700854701</x:v>
      </x:c>
    </x:row>
    <x:row r="131" ht="15" hidden="0" customHeight="1">
      <x:c r="A131" t="str">
        <x:f>Raw_Orders!A131</x:f>
        <x:v>O0130</x:v>
      </x:c>
      <x:c r="B131" s="10" t="n">
        <x:f>Raw_Orders!B131</x:f>
        <x:v>45716</x:v>
      </x:c>
      <x:c r="C131" t="str">
        <x:f>Raw_Orders!C131</x:f>
        <x:v>C021</x:v>
      </x:c>
      <x:c r="D131" t="str">
        <x:f>INDEX(Customers!$B$2:$B$81,MATCH(C131,Customers!$A$2:$A$81,0))</x:f>
        <x:v>Customer 21</x:v>
      </x:c>
      <x:c r="E131" t="str">
        <x:f>INDEX(Customers!$C$2:$C$81,MATCH(C131,Customers!$A$2:$A$81,0))</x:f>
        <x:v>Small Business</x:v>
      </x:c>
      <x:c r="F131" t="str">
        <x:f>INDEX(Customers!$D$2:$D$81,MATCH(C131,Customers!$A$2:$A$81,0))</x:f>
        <x:v>North</x:v>
      </x:c>
      <x:c r="G131" t="str">
        <x:f>Raw_Orders!D131</x:f>
        <x:v>P005</x:v>
      </x:c>
      <x:c r="H131" t="str">
        <x:f>INDEX(Products!$B$2:$B$13,MATCH(G131,Products!$A$2:$A$13,0))</x:f>
        <x:v>27in Monitor</x:v>
      </x:c>
      <x:c r="I131" t="str">
        <x:f>INDEX(Products!$C$2:$C$13,MATCH(G131,Products!$A$2:$A$13,0))</x:f>
        <x:v>Displays</x:v>
      </x:c>
      <x:c r="J131" t="str">
        <x:f>Raw_Orders!G131</x:f>
        <x:v>Online</x:v>
      </x:c>
      <x:c r="K131" t="n">
        <x:f>Raw_Orders!E131</x:f>
        <x:v>1</x:v>
      </x:c>
      <x:c r="L131" s="12" t="n">
        <x:f>Raw_Orders!F131</x:f>
        <x:v>0.1</x:v>
      </x:c>
      <x:c r="M131" s="14" t="n">
        <x:f>INDEX(Products!$D$2:$D$13,MATCH(G131,Products!$A$2:$A$13,0))</x:f>
        <x:v>310</x:v>
      </x:c>
      <x:c r="N131" s="14" t="n">
        <x:f>INDEX(Products!$E$2:$E$13,MATCH(G131,Products!$A$2:$A$13,0))</x:f>
        <x:v>205</x:v>
      </x:c>
      <x:c r="O131" s="14" t="n">
        <x:f>K131*M131</x:f>
        <x:v>310</x:v>
      </x:c>
      <x:c r="P131" s="14" t="n">
        <x:f>O131*(1-L131)</x:f>
        <x:v>279</x:v>
      </x:c>
      <x:c r="Q131" s="14" t="n">
        <x:f>K131*N131</x:f>
        <x:v>205</x:v>
      </x:c>
      <x:c r="R131" s="14" t="n">
        <x:f>P131-Q131</x:f>
        <x:v>74</x:v>
      </x:c>
      <x:c r="S131" s="16" t="n">
        <x:f>IFERROR(R131/P131,0)</x:f>
        <x:v>0.26523297491039427</x:v>
      </x:c>
    </x:row>
    <x:row r="132" ht="15" hidden="0" customHeight="1">
      <x:c r="A132" t="str">
        <x:f>Raw_Orders!A132</x:f>
        <x:v>O0131</x:v>
      </x:c>
      <x:c r="B132" s="10" t="n">
        <x:f>Raw_Orders!B132</x:f>
        <x:v>45817</x:v>
      </x:c>
      <x:c r="C132" t="str">
        <x:f>Raw_Orders!C132</x:f>
        <x:v>C074</x:v>
      </x:c>
      <x:c r="D132" t="str">
        <x:f>INDEX(Customers!$B$2:$B$81,MATCH(C132,Customers!$A$2:$A$81,0))</x:f>
        <x:v>Customer 74</x:v>
      </x:c>
      <x:c r="E132" t="str">
        <x:f>INDEX(Customers!$C$2:$C$81,MATCH(C132,Customers!$A$2:$A$81,0))</x:f>
        <x:v>Corporate</x:v>
      </x:c>
      <x:c r="F132" t="str">
        <x:f>INDEX(Customers!$D$2:$D$81,MATCH(C132,Customers!$A$2:$A$81,0))</x:f>
        <x:v>South</x:v>
      </x:c>
      <x:c r="G132" t="str">
        <x:f>Raw_Orders!D132</x:f>
        <x:v>P011</x:v>
      </x:c>
      <x:c r="H132" t="str">
        <x:f>INDEX(Products!$B$2:$B$13,MATCH(G132,Products!$A$2:$A$13,0))</x:f>
        <x:v>External HDD</x:v>
      </x:c>
      <x:c r="I132" t="str">
        <x:f>INDEX(Products!$C$2:$C$13,MATCH(G132,Products!$A$2:$A$13,0))</x:f>
        <x:v>Storage</x:v>
      </x:c>
      <x:c r="J132" t="str">
        <x:f>Raw_Orders!G132</x:f>
        <x:v>Partner</x:v>
      </x:c>
      <x:c r="K132" t="n">
        <x:f>Raw_Orders!E132</x:f>
        <x:v>4</x:v>
      </x:c>
      <x:c r="L132" s="12" t="n">
        <x:f>Raw_Orders!F132</x:f>
        <x:v>0.05</x:v>
      </x:c>
      <x:c r="M132" s="14" t="n">
        <x:f>INDEX(Products!$D$2:$D$13,MATCH(G132,Products!$A$2:$A$13,0))</x:f>
        <x:v>120</x:v>
      </x:c>
      <x:c r="N132" s="14" t="n">
        <x:f>INDEX(Products!$E$2:$E$13,MATCH(G132,Products!$A$2:$A$13,0))</x:f>
        <x:v>72</x:v>
      </x:c>
      <x:c r="O132" s="14" t="n">
        <x:f>K132*M132</x:f>
        <x:v>480</x:v>
      </x:c>
      <x:c r="P132" s="14" t="n">
        <x:f>O132*(1-L132)</x:f>
        <x:v>456</x:v>
      </x:c>
      <x:c r="Q132" s="14" t="n">
        <x:f>K132*N132</x:f>
        <x:v>288</x:v>
      </x:c>
      <x:c r="R132" s="14" t="n">
        <x:f>P132-Q132</x:f>
        <x:v>168</x:v>
      </x:c>
      <x:c r="S132" s="16" t="n">
        <x:f>IFERROR(R132/P132,0)</x:f>
        <x:v>0.3684210526315789</x:v>
      </x:c>
    </x:row>
    <x:row r="133" ht="15" hidden="0" customHeight="1">
      <x:c r="A133" t="str">
        <x:f>Raw_Orders!A133</x:f>
        <x:v>O0132</x:v>
      </x:c>
      <x:c r="B133" s="10" t="n">
        <x:f>Raw_Orders!B133</x:f>
        <x:v>45759</x:v>
      </x:c>
      <x:c r="C133" t="str">
        <x:f>Raw_Orders!C133</x:f>
        <x:v>C010</x:v>
      </x:c>
      <x:c r="D133" t="str">
        <x:f>INDEX(Customers!$B$2:$B$81,MATCH(C133,Customers!$A$2:$A$81,0))</x:f>
        <x:v>Customer 10</x:v>
      </x:c>
      <x:c r="E133" t="str">
        <x:f>INDEX(Customers!$C$2:$C$81,MATCH(C133,Customers!$A$2:$A$81,0))</x:f>
        <x:v>Consumer</x:v>
      </x:c>
      <x:c r="F133" t="str">
        <x:f>INDEX(Customers!$D$2:$D$81,MATCH(C133,Customers!$A$2:$A$81,0))</x:f>
        <x:v>South</x:v>
      </x:c>
      <x:c r="G133" t="str">
        <x:f>Raw_Orders!D133</x:f>
        <x:v>P010</x:v>
      </x:c>
      <x:c r="H133" t="str">
        <x:f>INDEX(Products!$B$2:$B$13,MATCH(G133,Products!$A$2:$A$13,0))</x:f>
        <x:v>Portable SSD</x:v>
      </x:c>
      <x:c r="I133" t="str">
        <x:f>INDEX(Products!$C$2:$C$13,MATCH(G133,Products!$A$2:$A$13,0))</x:f>
        <x:v>Storage</x:v>
      </x:c>
      <x:c r="J133" t="str">
        <x:f>Raw_Orders!G133</x:f>
        <x:v>Online</x:v>
      </x:c>
      <x:c r="K133" t="n">
        <x:f>Raw_Orders!E133</x:f>
        <x:v>6</x:v>
      </x:c>
      <x:c r="L133" s="12" t="n">
        <x:f>Raw_Orders!F133</x:f>
        <x:v>0.15</x:v>
      </x:c>
      <x:c r="M133" s="14" t="n">
        <x:f>INDEX(Products!$D$2:$D$13,MATCH(G133,Products!$A$2:$A$13,0))</x:f>
        <x:v>145</x:v>
      </x:c>
      <x:c r="N133" s="14" t="n">
        <x:f>INDEX(Products!$E$2:$E$13,MATCH(G133,Products!$A$2:$A$13,0))</x:f>
        <x:v>86</x:v>
      </x:c>
      <x:c r="O133" s="14" t="n">
        <x:f>K133*M133</x:f>
        <x:v>870</x:v>
      </x:c>
      <x:c r="P133" s="14" t="n">
        <x:f>O133*(1-L133)</x:f>
        <x:v>739.5</x:v>
      </x:c>
      <x:c r="Q133" s="14" t="n">
        <x:f>K133*N133</x:f>
        <x:v>516</x:v>
      </x:c>
      <x:c r="R133" s="14" t="n">
        <x:f>P133-Q133</x:f>
        <x:v>223.5</x:v>
      </x:c>
      <x:c r="S133" s="16" t="n">
        <x:f>IFERROR(R133/P133,0)</x:f>
        <x:v>0.3022312373225152</x:v>
      </x:c>
    </x:row>
    <x:row r="134" ht="15" hidden="0" customHeight="1">
      <x:c r="A134" t="str">
        <x:f>Raw_Orders!A134</x:f>
        <x:v>O0133</x:v>
      </x:c>
      <x:c r="B134" s="10" t="n">
        <x:f>Raw_Orders!B134</x:f>
        <x:v>45710</x:v>
      </x:c>
      <x:c r="C134" t="str">
        <x:f>Raw_Orders!C134</x:f>
        <x:v>C039</x:v>
      </x:c>
      <x:c r="D134" t="str">
        <x:f>INDEX(Customers!$B$2:$B$81,MATCH(C134,Customers!$A$2:$A$81,0))</x:f>
        <x:v>Customer 39</x:v>
      </x:c>
      <x:c r="E134" t="str">
        <x:f>INDEX(Customers!$C$2:$C$81,MATCH(C134,Customers!$A$2:$A$81,0))</x:f>
        <x:v>Small Business</x:v>
      </x:c>
      <x:c r="F134" t="str">
        <x:f>INDEX(Customers!$D$2:$D$81,MATCH(C134,Customers!$A$2:$A$81,0))</x:f>
        <x:v>East</x:v>
      </x:c>
      <x:c r="G134" t="str">
        <x:f>Raw_Orders!D134</x:f>
        <x:v>P011</x:v>
      </x:c>
      <x:c r="H134" t="str">
        <x:f>INDEX(Products!$B$2:$B$13,MATCH(G134,Products!$A$2:$A$13,0))</x:f>
        <x:v>External HDD</x:v>
      </x:c>
      <x:c r="I134" t="str">
        <x:f>INDEX(Products!$C$2:$C$13,MATCH(G134,Products!$A$2:$A$13,0))</x:f>
        <x:v>Storage</x:v>
      </x:c>
      <x:c r="J134" t="str">
        <x:f>Raw_Orders!G134</x:f>
        <x:v>Partner</x:v>
      </x:c>
      <x:c r="K134" t="n">
        <x:f>Raw_Orders!E134</x:f>
        <x:v>5</x:v>
      </x:c>
      <x:c r="L134" s="12" t="n">
        <x:f>Raw_Orders!F134</x:f>
        <x:v>0</x:v>
      </x:c>
      <x:c r="M134" s="14" t="n">
        <x:f>INDEX(Products!$D$2:$D$13,MATCH(G134,Products!$A$2:$A$13,0))</x:f>
        <x:v>120</x:v>
      </x:c>
      <x:c r="N134" s="14" t="n">
        <x:f>INDEX(Products!$E$2:$E$13,MATCH(G134,Products!$A$2:$A$13,0))</x:f>
        <x:v>72</x:v>
      </x:c>
      <x:c r="O134" s="14" t="n">
        <x:f>K134*M134</x:f>
        <x:v>600</x:v>
      </x:c>
      <x:c r="P134" s="14" t="n">
        <x:f>O134*(1-L134)</x:f>
        <x:v>600</x:v>
      </x:c>
      <x:c r="Q134" s="14" t="n">
        <x:f>K134*N134</x:f>
        <x:v>360</x:v>
      </x:c>
      <x:c r="R134" s="14" t="n">
        <x:f>P134-Q134</x:f>
        <x:v>240</x:v>
      </x:c>
      <x:c r="S134" s="16" t="n">
        <x:f>IFERROR(R134/P134,0)</x:f>
        <x:v>0.4</x:v>
      </x:c>
    </x:row>
    <x:row r="135" ht="15" hidden="0" customHeight="1">
      <x:c r="A135" t="str">
        <x:f>Raw_Orders!A135</x:f>
        <x:v>O0134</x:v>
      </x:c>
      <x:c r="B135" s="10" t="n">
        <x:f>Raw_Orders!B135</x:f>
        <x:v>45679</x:v>
      </x:c>
      <x:c r="C135" t="str">
        <x:f>Raw_Orders!C135</x:f>
        <x:v>C045</x:v>
      </x:c>
      <x:c r="D135" t="str">
        <x:f>INDEX(Customers!$B$2:$B$81,MATCH(C135,Customers!$A$2:$A$81,0))</x:f>
        <x:v>Customer 45</x:v>
      </x:c>
      <x:c r="E135" t="str">
        <x:f>INDEX(Customers!$C$2:$C$81,MATCH(C135,Customers!$A$2:$A$81,0))</x:f>
        <x:v>Small Business</x:v>
      </x:c>
      <x:c r="F135" t="str">
        <x:f>INDEX(Customers!$D$2:$D$81,MATCH(C135,Customers!$A$2:$A$81,0))</x:f>
        <x:v>North</x:v>
      </x:c>
      <x:c r="G135" t="str">
        <x:f>Raw_Orders!D135</x:f>
        <x:v>P009</x:v>
      </x:c>
      <x:c r="H135" t="str">
        <x:f>INDEX(Products!$B$2:$B$13,MATCH(G135,Products!$A$2:$A$13,0))</x:f>
        <x:v>Desk Lamp</x:v>
      </x:c>
      <x:c r="I135" t="str">
        <x:f>INDEX(Products!$C$2:$C$13,MATCH(G135,Products!$A$2:$A$13,0))</x:f>
        <x:v>Office</x:v>
      </x:c>
      <x:c r="J135" t="str">
        <x:f>Raw_Orders!G135</x:f>
        <x:v>Retail</x:v>
      </x:c>
      <x:c r="K135" t="n">
        <x:f>Raw_Orders!E135</x:f>
        <x:v>4</x:v>
      </x:c>
      <x:c r="L135" s="12" t="n">
        <x:f>Raw_Orders!F135</x:f>
        <x:v>0.15</x:v>
      </x:c>
      <x:c r="M135" s="14" t="n">
        <x:f>INDEX(Products!$D$2:$D$13,MATCH(G135,Products!$A$2:$A$13,0))</x:f>
        <x:v>70</x:v>
      </x:c>
      <x:c r="N135" s="14" t="n">
        <x:f>INDEX(Products!$E$2:$E$13,MATCH(G135,Products!$A$2:$A$13,0))</x:f>
        <x:v>29</x:v>
      </x:c>
      <x:c r="O135" s="14" t="n">
        <x:f>K135*M135</x:f>
        <x:v>280</x:v>
      </x:c>
      <x:c r="P135" s="14" t="n">
        <x:f>O135*(1-L135)</x:f>
        <x:v>238</x:v>
      </x:c>
      <x:c r="Q135" s="14" t="n">
        <x:f>K135*N135</x:f>
        <x:v>116</x:v>
      </x:c>
      <x:c r="R135" s="14" t="n">
        <x:f>P135-Q135</x:f>
        <x:v>122</x:v>
      </x:c>
      <x:c r="S135" s="16" t="n">
        <x:f>IFERROR(R135/P135,0)</x:f>
        <x:v>0.5126050420168067</x:v>
      </x:c>
    </x:row>
    <x:row r="136" ht="15" hidden="0" customHeight="1">
      <x:c r="A136" t="str">
        <x:f>Raw_Orders!A136</x:f>
        <x:v>O0135</x:v>
      </x:c>
      <x:c r="B136" s="10" t="n">
        <x:f>Raw_Orders!B136</x:f>
        <x:v>45693</x:v>
      </x:c>
      <x:c r="C136" t="str">
        <x:f>Raw_Orders!C136</x:f>
        <x:v>C065</x:v>
      </x:c>
      <x:c r="D136" t="str">
        <x:f>INDEX(Customers!$B$2:$B$81,MATCH(C136,Customers!$A$2:$A$81,0))</x:f>
        <x:v>Customer 65</x:v>
      </x:c>
      <x:c r="E136" t="str">
        <x:f>INDEX(Customers!$C$2:$C$81,MATCH(C136,Customers!$A$2:$A$81,0))</x:f>
        <x:v>Corporate</x:v>
      </x:c>
      <x:c r="F136" t="str">
        <x:f>INDEX(Customers!$D$2:$D$81,MATCH(C136,Customers!$A$2:$A$81,0))</x:f>
        <x:v>North</x:v>
      </x:c>
      <x:c r="G136" t="str">
        <x:f>Raw_Orders!D136</x:f>
        <x:v>P011</x:v>
      </x:c>
      <x:c r="H136" t="str">
        <x:f>INDEX(Products!$B$2:$B$13,MATCH(G136,Products!$A$2:$A$13,0))</x:f>
        <x:v>External HDD</x:v>
      </x:c>
      <x:c r="I136" t="str">
        <x:f>INDEX(Products!$C$2:$C$13,MATCH(G136,Products!$A$2:$A$13,0))</x:f>
        <x:v>Storage</x:v>
      </x:c>
      <x:c r="J136" t="str">
        <x:f>Raw_Orders!G136</x:f>
        <x:v>Retail</x:v>
      </x:c>
      <x:c r="K136" t="n">
        <x:f>Raw_Orders!E136</x:f>
        <x:v>3</x:v>
      </x:c>
      <x:c r="L136" s="12" t="n">
        <x:f>Raw_Orders!F136</x:f>
        <x:v>0</x:v>
      </x:c>
      <x:c r="M136" s="14" t="n">
        <x:f>INDEX(Products!$D$2:$D$13,MATCH(G136,Products!$A$2:$A$13,0))</x:f>
        <x:v>120</x:v>
      </x:c>
      <x:c r="N136" s="14" t="n">
        <x:f>INDEX(Products!$E$2:$E$13,MATCH(G136,Products!$A$2:$A$13,0))</x:f>
        <x:v>72</x:v>
      </x:c>
      <x:c r="O136" s="14" t="n">
        <x:f>K136*M136</x:f>
        <x:v>360</x:v>
      </x:c>
      <x:c r="P136" s="14" t="n">
        <x:f>O136*(1-L136)</x:f>
        <x:v>360</x:v>
      </x:c>
      <x:c r="Q136" s="14" t="n">
        <x:f>K136*N136</x:f>
        <x:v>216</x:v>
      </x:c>
      <x:c r="R136" s="14" t="n">
        <x:f>P136-Q136</x:f>
        <x:v>144</x:v>
      </x:c>
      <x:c r="S136" s="16" t="n">
        <x:f>IFERROR(R136/P136,0)</x:f>
        <x:v>0.4</x:v>
      </x:c>
    </x:row>
    <x:row r="137" ht="15" hidden="0" customHeight="1">
      <x:c r="A137" t="str">
        <x:f>Raw_Orders!A137</x:f>
        <x:v>O0136</x:v>
      </x:c>
      <x:c r="B137" s="10" t="n">
        <x:f>Raw_Orders!B137</x:f>
        <x:v>45908</x:v>
      </x:c>
      <x:c r="C137" t="str">
        <x:f>Raw_Orders!C137</x:f>
        <x:v>C014</x:v>
      </x:c>
      <x:c r="D137" t="str">
        <x:f>INDEX(Customers!$B$2:$B$81,MATCH(C137,Customers!$A$2:$A$81,0))</x:f>
        <x:v>Customer 14</x:v>
      </x:c>
      <x:c r="E137" t="str">
        <x:f>INDEX(Customers!$C$2:$C$81,MATCH(C137,Customers!$A$2:$A$81,0))</x:f>
        <x:v>Corporate</x:v>
      </x:c>
      <x:c r="F137" t="str">
        <x:f>INDEX(Customers!$D$2:$D$81,MATCH(C137,Customers!$A$2:$A$81,0))</x:f>
        <x:v>South</x:v>
      </x:c>
      <x:c r="G137" t="str">
        <x:f>Raw_Orders!D137</x:f>
        <x:v>P007</x:v>
      </x:c>
      <x:c r="H137" t="str">
        <x:f>INDEX(Products!$B$2:$B$13,MATCH(G137,Products!$A$2:$A$13,0))</x:f>
        <x:v>Ergonomic Chair</x:v>
      </x:c>
      <x:c r="I137" t="str">
        <x:f>INDEX(Products!$C$2:$C$13,MATCH(G137,Products!$A$2:$A$13,0))</x:f>
        <x:v>Office</x:v>
      </x:c>
      <x:c r="J137" t="str">
        <x:f>Raw_Orders!G137</x:f>
        <x:v>Retail</x:v>
      </x:c>
      <x:c r="K137" t="n">
        <x:f>Raw_Orders!E137</x:f>
        <x:v>3</x:v>
      </x:c>
      <x:c r="L137" s="12" t="n">
        <x:f>Raw_Orders!F137</x:f>
        <x:v>0.15</x:v>
      </x:c>
      <x:c r="M137" s="14" t="n">
        <x:f>INDEX(Products!$D$2:$D$13,MATCH(G137,Products!$A$2:$A$13,0))</x:f>
        <x:v>390</x:v>
      </x:c>
      <x:c r="N137" s="14" t="n">
        <x:f>INDEX(Products!$E$2:$E$13,MATCH(G137,Products!$A$2:$A$13,0))</x:f>
        <x:v>245</x:v>
      </x:c>
      <x:c r="O137" s="14" t="n">
        <x:f>K137*M137</x:f>
        <x:v>1170</x:v>
      </x:c>
      <x:c r="P137" s="14" t="n">
        <x:f>O137*(1-L137)</x:f>
        <x:v>994.5</x:v>
      </x:c>
      <x:c r="Q137" s="14" t="n">
        <x:f>K137*N137</x:f>
        <x:v>735</x:v>
      </x:c>
      <x:c r="R137" s="14" t="n">
        <x:f>P137-Q137</x:f>
        <x:v>259.5</x:v>
      </x:c>
      <x:c r="S137" s="16" t="n">
        <x:f>IFERROR(R137/P137,0)</x:f>
        <x:v>0.2609351432880845</x:v>
      </x:c>
    </x:row>
    <x:row r="138" ht="15" hidden="0" customHeight="1">
      <x:c r="A138" t="str">
        <x:f>Raw_Orders!A138</x:f>
        <x:v>O0137</x:v>
      </x:c>
      <x:c r="B138" s="10" t="n">
        <x:f>Raw_Orders!B138</x:f>
        <x:v>46020</x:v>
      </x:c>
      <x:c r="C138" t="str">
        <x:f>Raw_Orders!C138</x:f>
        <x:v>C020</x:v>
      </x:c>
      <x:c r="D138" t="str">
        <x:f>INDEX(Customers!$B$2:$B$81,MATCH(C138,Customers!$A$2:$A$81,0))</x:f>
        <x:v>Customer 20</x:v>
      </x:c>
      <x:c r="E138" t="str">
        <x:f>INDEX(Customers!$C$2:$C$81,MATCH(C138,Customers!$A$2:$A$81,0))</x:f>
        <x:v>Corporate</x:v>
      </x:c>
      <x:c r="F138" t="str">
        <x:f>INDEX(Customers!$D$2:$D$81,MATCH(C138,Customers!$A$2:$A$81,0))</x:f>
        <x:v>West</x:v>
      </x:c>
      <x:c r="G138" t="str">
        <x:f>Raw_Orders!D138</x:f>
        <x:v>P007</x:v>
      </x:c>
      <x:c r="H138" t="str">
        <x:f>INDEX(Products!$B$2:$B$13,MATCH(G138,Products!$A$2:$A$13,0))</x:f>
        <x:v>Ergonomic Chair</x:v>
      </x:c>
      <x:c r="I138" t="str">
        <x:f>INDEX(Products!$C$2:$C$13,MATCH(G138,Products!$A$2:$A$13,0))</x:f>
        <x:v>Office</x:v>
      </x:c>
      <x:c r="J138" t="str">
        <x:f>Raw_Orders!G138</x:f>
        <x:v>Partner</x:v>
      </x:c>
      <x:c r="K138" t="n">
        <x:f>Raw_Orders!E138</x:f>
        <x:v>2</x:v>
      </x:c>
      <x:c r="L138" s="12" t="n">
        <x:f>Raw_Orders!F138</x:f>
        <x:v>0.15</x:v>
      </x:c>
      <x:c r="M138" s="14" t="n">
        <x:f>INDEX(Products!$D$2:$D$13,MATCH(G138,Products!$A$2:$A$13,0))</x:f>
        <x:v>390</x:v>
      </x:c>
      <x:c r="N138" s="14" t="n">
        <x:f>INDEX(Products!$E$2:$E$13,MATCH(G138,Products!$A$2:$A$13,0))</x:f>
        <x:v>245</x:v>
      </x:c>
      <x:c r="O138" s="14" t="n">
        <x:f>K138*M138</x:f>
        <x:v>780</x:v>
      </x:c>
      <x:c r="P138" s="14" t="n">
        <x:f>O138*(1-L138)</x:f>
        <x:v>663</x:v>
      </x:c>
      <x:c r="Q138" s="14" t="n">
        <x:f>K138*N138</x:f>
        <x:v>490</x:v>
      </x:c>
      <x:c r="R138" s="14" t="n">
        <x:f>P138-Q138</x:f>
        <x:v>173</x:v>
      </x:c>
      <x:c r="S138" s="16" t="n">
        <x:f>IFERROR(R138/P138,0)</x:f>
        <x:v>0.2609351432880845</x:v>
      </x:c>
    </x:row>
    <x:row r="139" ht="15" hidden="0" customHeight="1">
      <x:c r="A139" t="str">
        <x:f>Raw_Orders!A139</x:f>
        <x:v>O0138</x:v>
      </x:c>
      <x:c r="B139" s="10" t="n">
        <x:f>Raw_Orders!B139</x:f>
        <x:v>45991</x:v>
      </x:c>
      <x:c r="C139" t="str">
        <x:f>Raw_Orders!C139</x:f>
        <x:v>C035</x:v>
      </x:c>
      <x:c r="D139" t="str">
        <x:f>INDEX(Customers!$B$2:$B$81,MATCH(C139,Customers!$A$2:$A$81,0))</x:f>
        <x:v>Customer 35</x:v>
      </x:c>
      <x:c r="E139" t="str">
        <x:f>INDEX(Customers!$C$2:$C$81,MATCH(C139,Customers!$A$2:$A$81,0))</x:f>
        <x:v>Corporate</x:v>
      </x:c>
      <x:c r="F139" t="str">
        <x:f>INDEX(Customers!$D$2:$D$81,MATCH(C139,Customers!$A$2:$A$81,0))</x:f>
        <x:v>East</x:v>
      </x:c>
      <x:c r="G139" t="str">
        <x:f>Raw_Orders!D139</x:f>
        <x:v>P010</x:v>
      </x:c>
      <x:c r="H139" t="str">
        <x:f>INDEX(Products!$B$2:$B$13,MATCH(G139,Products!$A$2:$A$13,0))</x:f>
        <x:v>Portable SSD</x:v>
      </x:c>
      <x:c r="I139" t="str">
        <x:f>INDEX(Products!$C$2:$C$13,MATCH(G139,Products!$A$2:$A$13,0))</x:f>
        <x:v>Storage</x:v>
      </x:c>
      <x:c r="J139" t="str">
        <x:f>Raw_Orders!G139</x:f>
        <x:v>Retail</x:v>
      </x:c>
      <x:c r="K139" t="n">
        <x:f>Raw_Orders!E139</x:f>
        <x:v>5</x:v>
      </x:c>
      <x:c r="L139" s="12" t="n">
        <x:f>Raw_Orders!F139</x:f>
        <x:v>0.05</x:v>
      </x:c>
      <x:c r="M139" s="14" t="n">
        <x:f>INDEX(Products!$D$2:$D$13,MATCH(G139,Products!$A$2:$A$13,0))</x:f>
        <x:v>145</x:v>
      </x:c>
      <x:c r="N139" s="14" t="n">
        <x:f>INDEX(Products!$E$2:$E$13,MATCH(G139,Products!$A$2:$A$13,0))</x:f>
        <x:v>86</x:v>
      </x:c>
      <x:c r="O139" s="14" t="n">
        <x:f>K139*M139</x:f>
        <x:v>725</x:v>
      </x:c>
      <x:c r="P139" s="14" t="n">
        <x:f>O139*(1-L139)</x:f>
        <x:v>688.75</x:v>
      </x:c>
      <x:c r="Q139" s="14" t="n">
        <x:f>K139*N139</x:f>
        <x:v>430</x:v>
      </x:c>
      <x:c r="R139" s="14" t="n">
        <x:f>P139-Q139</x:f>
        <x:v>258.75</x:v>
      </x:c>
      <x:c r="S139" s="16" t="n">
        <x:f>IFERROR(R139/P139,0)</x:f>
        <x:v>0.37568058076225047</x:v>
      </x:c>
    </x:row>
    <x:row r="140" ht="15" hidden="0" customHeight="1">
      <x:c r="A140" t="str">
        <x:f>Raw_Orders!A140</x:f>
        <x:v>O0139</x:v>
      </x:c>
      <x:c r="B140" s="10" t="n">
        <x:f>Raw_Orders!B140</x:f>
        <x:v>45881</x:v>
      </x:c>
      <x:c r="C140" t="str">
        <x:f>Raw_Orders!C140</x:f>
        <x:v>C076</x:v>
      </x:c>
      <x:c r="D140" t="str">
        <x:f>INDEX(Customers!$B$2:$B$81,MATCH(C140,Customers!$A$2:$A$81,0))</x:f>
        <x:v>Customer 76</x:v>
      </x:c>
      <x:c r="E140" t="str">
        <x:f>INDEX(Customers!$C$2:$C$81,MATCH(C140,Customers!$A$2:$A$81,0))</x:f>
        <x:v>Consumer</x:v>
      </x:c>
      <x:c r="F140" t="str">
        <x:f>INDEX(Customers!$D$2:$D$81,MATCH(C140,Customers!$A$2:$A$81,0))</x:f>
        <x:v>West</x:v>
      </x:c>
      <x:c r="G140" t="str">
        <x:f>Raw_Orders!D140</x:f>
        <x:v>P005</x:v>
      </x:c>
      <x:c r="H140" t="str">
        <x:f>INDEX(Products!$B$2:$B$13,MATCH(G140,Products!$A$2:$A$13,0))</x:f>
        <x:v>27in Monitor</x:v>
      </x:c>
      <x:c r="I140" t="str">
        <x:f>INDEX(Products!$C$2:$C$13,MATCH(G140,Products!$A$2:$A$13,0))</x:f>
        <x:v>Displays</x:v>
      </x:c>
      <x:c r="J140" t="str">
        <x:f>Raw_Orders!G140</x:f>
        <x:v>Online</x:v>
      </x:c>
      <x:c r="K140" t="n">
        <x:f>Raw_Orders!E140</x:f>
        <x:v>3</x:v>
      </x:c>
      <x:c r="L140" s="12" t="n">
        <x:f>Raw_Orders!F140</x:f>
        <x:v>0</x:v>
      </x:c>
      <x:c r="M140" s="14" t="n">
        <x:f>INDEX(Products!$D$2:$D$13,MATCH(G140,Products!$A$2:$A$13,0))</x:f>
        <x:v>310</x:v>
      </x:c>
      <x:c r="N140" s="14" t="n">
        <x:f>INDEX(Products!$E$2:$E$13,MATCH(G140,Products!$A$2:$A$13,0))</x:f>
        <x:v>205</x:v>
      </x:c>
      <x:c r="O140" s="14" t="n">
        <x:f>K140*M140</x:f>
        <x:v>930</x:v>
      </x:c>
      <x:c r="P140" s="14" t="n">
        <x:f>O140*(1-L140)</x:f>
        <x:v>930</x:v>
      </x:c>
      <x:c r="Q140" s="14" t="n">
        <x:f>K140*N140</x:f>
        <x:v>615</x:v>
      </x:c>
      <x:c r="R140" s="14" t="n">
        <x:f>P140-Q140</x:f>
        <x:v>315</x:v>
      </x:c>
      <x:c r="S140" s="16" t="n">
        <x:f>IFERROR(R140/P140,0)</x:f>
        <x:v>0.3387096774193548</x:v>
      </x:c>
    </x:row>
    <x:row r="141" ht="15" hidden="0" customHeight="1">
      <x:c r="A141" t="str">
        <x:f>Raw_Orders!A141</x:f>
        <x:v>O0140</x:v>
      </x:c>
      <x:c r="B141" s="10" t="n">
        <x:f>Raw_Orders!B141</x:f>
        <x:v>45800</x:v>
      </x:c>
      <x:c r="C141" t="str">
        <x:f>Raw_Orders!C141</x:f>
        <x:v>C058</x:v>
      </x:c>
      <x:c r="D141" t="str">
        <x:f>INDEX(Customers!$B$2:$B$81,MATCH(C141,Customers!$A$2:$A$81,0))</x:f>
        <x:v>Customer 58</x:v>
      </x:c>
      <x:c r="E141" t="str">
        <x:f>INDEX(Customers!$C$2:$C$81,MATCH(C141,Customers!$A$2:$A$81,0))</x:f>
        <x:v>Consumer</x:v>
      </x:c>
      <x:c r="F141" t="str">
        <x:f>INDEX(Customers!$D$2:$D$81,MATCH(C141,Customers!$A$2:$A$81,0))</x:f>
        <x:v>South</x:v>
      </x:c>
      <x:c r="G141" t="str">
        <x:f>Raw_Orders!D141</x:f>
        <x:v>P004</x:v>
      </x:c>
      <x:c r="H141" t="str">
        <x:f>INDEX(Products!$B$2:$B$13,MATCH(G141,Products!$A$2:$A$13,0))</x:f>
        <x:v>24in Monitor</x:v>
      </x:c>
      <x:c r="I141" t="str">
        <x:f>INDEX(Products!$C$2:$C$13,MATCH(G141,Products!$A$2:$A$13,0))</x:f>
        <x:v>Displays</x:v>
      </x:c>
      <x:c r="J141" t="str">
        <x:f>Raw_Orders!G141</x:f>
        <x:v>Partner</x:v>
      </x:c>
      <x:c r="K141" t="n">
        <x:f>Raw_Orders!E141</x:f>
        <x:v>4</x:v>
      </x:c>
      <x:c r="L141" s="12" t="n">
        <x:f>Raw_Orders!F141</x:f>
        <x:v>0.1</x:v>
      </x:c>
      <x:c r="M141" s="14" t="n">
        <x:f>INDEX(Products!$D$2:$D$13,MATCH(G141,Products!$A$2:$A$13,0))</x:f>
        <x:v>220</x:v>
      </x:c>
      <x:c r="N141" s="14" t="n">
        <x:f>INDEX(Products!$E$2:$E$13,MATCH(G141,Products!$A$2:$A$13,0))</x:f>
        <x:v>142</x:v>
      </x:c>
      <x:c r="O141" s="14" t="n">
        <x:f>K141*M141</x:f>
        <x:v>880</x:v>
      </x:c>
      <x:c r="P141" s="14" t="n">
        <x:f>O141*(1-L141)</x:f>
        <x:v>792</x:v>
      </x:c>
      <x:c r="Q141" s="14" t="n">
        <x:f>K141*N141</x:f>
        <x:v>568</x:v>
      </x:c>
      <x:c r="R141" s="14" t="n">
        <x:f>P141-Q141</x:f>
        <x:v>224</x:v>
      </x:c>
      <x:c r="S141" s="16" t="n">
        <x:f>IFERROR(R141/P141,0)</x:f>
        <x:v>0.2828282828282828</x:v>
      </x:c>
    </x:row>
    <x:row r="142" ht="15" hidden="0" customHeight="1">
      <x:c r="A142" t="str">
        <x:f>Raw_Orders!A142</x:f>
        <x:v>O0141</x:v>
      </x:c>
      <x:c r="B142" s="10" t="n">
        <x:f>Raw_Orders!B142</x:f>
        <x:v>46000</x:v>
      </x:c>
      <x:c r="C142" t="str">
        <x:f>Raw_Orders!C142</x:f>
        <x:v>C049</x:v>
      </x:c>
      <x:c r="D142" t="str">
        <x:f>INDEX(Customers!$B$2:$B$81,MATCH(C142,Customers!$A$2:$A$81,0))</x:f>
        <x:v>Customer 49</x:v>
      </x:c>
      <x:c r="E142" t="str">
        <x:f>INDEX(Customers!$C$2:$C$81,MATCH(C142,Customers!$A$2:$A$81,0))</x:f>
        <x:v>Consumer</x:v>
      </x:c>
      <x:c r="F142" t="str">
        <x:f>INDEX(Customers!$D$2:$D$81,MATCH(C142,Customers!$A$2:$A$81,0))</x:f>
        <x:v>North</x:v>
      </x:c>
      <x:c r="G142" t="str">
        <x:f>Raw_Orders!D142</x:f>
        <x:v>P006</x:v>
      </x:c>
      <x:c r="H142" t="str">
        <x:f>INDEX(Products!$B$2:$B$13,MATCH(G142,Products!$A$2:$A$13,0))</x:f>
        <x:v>Laptop Stand</x:v>
      </x:c>
      <x:c r="I142" t="str">
        <x:f>INDEX(Products!$C$2:$C$13,MATCH(G142,Products!$A$2:$A$13,0))</x:f>
        <x:v>Office</x:v>
      </x:c>
      <x:c r="J142" t="str">
        <x:f>Raw_Orders!G142</x:f>
        <x:v>Retail</x:v>
      </x:c>
      <x:c r="K142" t="n">
        <x:f>Raw_Orders!E142</x:f>
        <x:v>1</x:v>
      </x:c>
      <x:c r="L142" s="12" t="n">
        <x:f>Raw_Orders!F142</x:f>
        <x:v>0.05</x:v>
      </x:c>
      <x:c r="M142" s="14" t="n">
        <x:f>INDEX(Products!$D$2:$D$13,MATCH(G142,Products!$A$2:$A$13,0))</x:f>
        <x:v>55</x:v>
      </x:c>
      <x:c r="N142" s="14" t="n">
        <x:f>INDEX(Products!$E$2:$E$13,MATCH(G142,Products!$A$2:$A$13,0))</x:f>
        <x:v>24</x:v>
      </x:c>
      <x:c r="O142" s="14" t="n">
        <x:f>K142*M142</x:f>
        <x:v>55</x:v>
      </x:c>
      <x:c r="P142" s="14" t="n">
        <x:f>O142*(1-L142)</x:f>
        <x:v>52.25</x:v>
      </x:c>
      <x:c r="Q142" s="14" t="n">
        <x:f>K142*N142</x:f>
        <x:v>24</x:v>
      </x:c>
      <x:c r="R142" s="14" t="n">
        <x:f>P142-Q142</x:f>
        <x:v>28.25</x:v>
      </x:c>
      <x:c r="S142" s="16" t="n">
        <x:f>IFERROR(R142/P142,0)</x:f>
        <x:v>0.5406698564593302</x:v>
      </x:c>
    </x:row>
    <x:row r="143" ht="15" hidden="0" customHeight="1">
      <x:c r="A143" t="str">
        <x:f>Raw_Orders!A143</x:f>
        <x:v>O0142</x:v>
      </x:c>
      <x:c r="B143" s="10" t="n">
        <x:f>Raw_Orders!B143</x:f>
        <x:v>45751</x:v>
      </x:c>
      <x:c r="C143" t="str">
        <x:f>Raw_Orders!C143</x:f>
        <x:v>C063</x:v>
      </x:c>
      <x:c r="D143" t="str">
        <x:f>INDEX(Customers!$B$2:$B$81,MATCH(C143,Customers!$A$2:$A$81,0))</x:f>
        <x:v>Customer 63</x:v>
      </x:c>
      <x:c r="E143" t="str">
        <x:f>INDEX(Customers!$C$2:$C$81,MATCH(C143,Customers!$A$2:$A$81,0))</x:f>
        <x:v>Small Business</x:v>
      </x:c>
      <x:c r="F143" t="str">
        <x:f>INDEX(Customers!$D$2:$D$81,MATCH(C143,Customers!$A$2:$A$81,0))</x:f>
        <x:v>East</x:v>
      </x:c>
      <x:c r="G143" t="str">
        <x:f>Raw_Orders!D143</x:f>
        <x:v>P004</x:v>
      </x:c>
      <x:c r="H143" t="str">
        <x:f>INDEX(Products!$B$2:$B$13,MATCH(G143,Products!$A$2:$A$13,0))</x:f>
        <x:v>24in Monitor</x:v>
      </x:c>
      <x:c r="I143" t="str">
        <x:f>INDEX(Products!$C$2:$C$13,MATCH(G143,Products!$A$2:$A$13,0))</x:f>
        <x:v>Displays</x:v>
      </x:c>
      <x:c r="J143" t="str">
        <x:f>Raw_Orders!G143</x:f>
        <x:v>Retail</x:v>
      </x:c>
      <x:c r="K143" t="n">
        <x:f>Raw_Orders!E143</x:f>
        <x:v>3</x:v>
      </x:c>
      <x:c r="L143" s="12" t="n">
        <x:f>Raw_Orders!F143</x:f>
        <x:v>0</x:v>
      </x:c>
      <x:c r="M143" s="14" t="n">
        <x:f>INDEX(Products!$D$2:$D$13,MATCH(G143,Products!$A$2:$A$13,0))</x:f>
        <x:v>220</x:v>
      </x:c>
      <x:c r="N143" s="14" t="n">
        <x:f>INDEX(Products!$E$2:$E$13,MATCH(G143,Products!$A$2:$A$13,0))</x:f>
        <x:v>142</x:v>
      </x:c>
      <x:c r="O143" s="14" t="n">
        <x:f>K143*M143</x:f>
        <x:v>660</x:v>
      </x:c>
      <x:c r="P143" s="14" t="n">
        <x:f>O143*(1-L143)</x:f>
        <x:v>660</x:v>
      </x:c>
      <x:c r="Q143" s="14" t="n">
        <x:f>K143*N143</x:f>
        <x:v>426</x:v>
      </x:c>
      <x:c r="R143" s="14" t="n">
        <x:f>P143-Q143</x:f>
        <x:v>234</x:v>
      </x:c>
      <x:c r="S143" s="16" t="n">
        <x:f>IFERROR(R143/P143,0)</x:f>
        <x:v>0.35454545454545455</x:v>
      </x:c>
    </x:row>
    <x:row r="144" ht="15" hidden="0" customHeight="1">
      <x:c r="A144" t="str">
        <x:f>Raw_Orders!A144</x:f>
        <x:v>O0143</x:v>
      </x:c>
      <x:c r="B144" s="10" t="n">
        <x:f>Raw_Orders!B144</x:f>
        <x:v>45801</x:v>
      </x:c>
      <x:c r="C144" t="str">
        <x:f>Raw_Orders!C144</x:f>
        <x:v>C077</x:v>
      </x:c>
      <x:c r="D144" t="str">
        <x:f>INDEX(Customers!$B$2:$B$81,MATCH(C144,Customers!$A$2:$A$81,0))</x:f>
        <x:v>Customer 77</x:v>
      </x:c>
      <x:c r="E144" t="str">
        <x:f>INDEX(Customers!$C$2:$C$81,MATCH(C144,Customers!$A$2:$A$81,0))</x:f>
        <x:v>Corporate</x:v>
      </x:c>
      <x:c r="F144" t="str">
        <x:f>INDEX(Customers!$D$2:$D$81,MATCH(C144,Customers!$A$2:$A$81,0))</x:f>
        <x:v>North</x:v>
      </x:c>
      <x:c r="G144" t="str">
        <x:f>Raw_Orders!D144</x:f>
        <x:v>P012</x:v>
      </x:c>
      <x:c r="H144" t="str">
        <x:f>INDEX(Products!$B$2:$B$13,MATCH(G144,Products!$A$2:$A$13,0))</x:f>
        <x:v>Docking Station</x:v>
      </x:c>
      <x:c r="I144" t="str">
        <x:f>INDEX(Products!$C$2:$C$13,MATCH(G144,Products!$A$2:$A$13,0))</x:f>
        <x:v>Accessories</x:v>
      </x:c>
      <x:c r="J144" t="str">
        <x:f>Raw_Orders!G144</x:f>
        <x:v>Online</x:v>
      </x:c>
      <x:c r="K144" t="n">
        <x:f>Raw_Orders!E144</x:f>
        <x:v>3</x:v>
      </x:c>
      <x:c r="L144" s="12" t="n">
        <x:f>Raw_Orders!F144</x:f>
        <x:v>0.1</x:v>
      </x:c>
      <x:c r="M144" s="14" t="n">
        <x:f>INDEX(Products!$D$2:$D$13,MATCH(G144,Products!$A$2:$A$13,0))</x:f>
        <x:v>180</x:v>
      </x:c>
      <x:c r="N144" s="14" t="n">
        <x:f>INDEX(Products!$E$2:$E$13,MATCH(G144,Products!$A$2:$A$13,0))</x:f>
        <x:v>104</x:v>
      </x:c>
      <x:c r="O144" s="14" t="n">
        <x:f>K144*M144</x:f>
        <x:v>540</x:v>
      </x:c>
      <x:c r="P144" s="14" t="n">
        <x:f>O144*(1-L144)</x:f>
        <x:v>486</x:v>
      </x:c>
      <x:c r="Q144" s="14" t="n">
        <x:f>K144*N144</x:f>
        <x:v>312</x:v>
      </x:c>
      <x:c r="R144" s="14" t="n">
        <x:f>P144-Q144</x:f>
        <x:v>174</x:v>
      </x:c>
      <x:c r="S144" s="16" t="n">
        <x:f>IFERROR(R144/P144,0)</x:f>
        <x:v>0.35802469135802467</x:v>
      </x:c>
    </x:row>
    <x:row r="145" ht="15" hidden="0" customHeight="1">
      <x:c r="A145" t="str">
        <x:f>Raw_Orders!A145</x:f>
        <x:v>O0144</x:v>
      </x:c>
      <x:c r="B145" s="10" t="n">
        <x:f>Raw_Orders!B145</x:f>
        <x:v>45922</x:v>
      </x:c>
      <x:c r="C145" t="str">
        <x:f>Raw_Orders!C145</x:f>
        <x:v>C025</x:v>
      </x:c>
      <x:c r="D145" t="str">
        <x:f>INDEX(Customers!$B$2:$B$81,MATCH(C145,Customers!$A$2:$A$81,0))</x:f>
        <x:v>Customer 25</x:v>
      </x:c>
      <x:c r="E145" t="str">
        <x:f>INDEX(Customers!$C$2:$C$81,MATCH(C145,Customers!$A$2:$A$81,0))</x:f>
        <x:v>Consumer</x:v>
      </x:c>
      <x:c r="F145" t="str">
        <x:f>INDEX(Customers!$D$2:$D$81,MATCH(C145,Customers!$A$2:$A$81,0))</x:f>
        <x:v>North</x:v>
      </x:c>
      <x:c r="G145" t="str">
        <x:f>Raw_Orders!D145</x:f>
        <x:v>P002</x:v>
      </x:c>
      <x:c r="H145" t="str">
        <x:f>INDEX(Products!$B$2:$B$13,MATCH(G145,Products!$A$2:$A$13,0))</x:f>
        <x:v>Mechanical Keyboard</x:v>
      </x:c>
      <x:c r="I145" t="str">
        <x:f>INDEX(Products!$C$2:$C$13,MATCH(G145,Products!$A$2:$A$13,0))</x:f>
        <x:v>Accessories</x:v>
      </x:c>
      <x:c r="J145" t="str">
        <x:f>Raw_Orders!G145</x:f>
        <x:v>Retail</x:v>
      </x:c>
      <x:c r="K145" t="n">
        <x:f>Raw_Orders!E145</x:f>
        <x:v>2</x:v>
      </x:c>
      <x:c r="L145" s="12" t="n">
        <x:f>Raw_Orders!F145</x:f>
        <x:v>0.15</x:v>
      </x:c>
      <x:c r="M145" s="14" t="n">
        <x:f>INDEX(Products!$D$2:$D$13,MATCH(G145,Products!$A$2:$A$13,0))</x:f>
        <x:v>110</x:v>
      </x:c>
      <x:c r="N145" s="14" t="n">
        <x:f>INDEX(Products!$E$2:$E$13,MATCH(G145,Products!$A$2:$A$13,0))</x:f>
        <x:v>58</x:v>
      </x:c>
      <x:c r="O145" s="14" t="n">
        <x:f>K145*M145</x:f>
        <x:v>220</x:v>
      </x:c>
      <x:c r="P145" s="14" t="n">
        <x:f>O145*(1-L145)</x:f>
        <x:v>187</x:v>
      </x:c>
      <x:c r="Q145" s="14" t="n">
        <x:f>K145*N145</x:f>
        <x:v>116</x:v>
      </x:c>
      <x:c r="R145" s="14" t="n">
        <x:f>P145-Q145</x:f>
        <x:v>71</x:v>
      </x:c>
      <x:c r="S145" s="16" t="n">
        <x:f>IFERROR(R145/P145,0)</x:f>
        <x:v>0.37967914438502676</x:v>
      </x:c>
    </x:row>
    <x:row r="146" ht="15" hidden="0" customHeight="1">
      <x:c r="A146" t="str">
        <x:f>Raw_Orders!A146</x:f>
        <x:v>O0145</x:v>
      </x:c>
      <x:c r="B146" s="10" t="n">
        <x:f>Raw_Orders!B146</x:f>
        <x:v>45908</x:v>
      </x:c>
      <x:c r="C146" t="str">
        <x:f>Raw_Orders!C146</x:f>
        <x:v>C072</x:v>
      </x:c>
      <x:c r="D146" t="str">
        <x:f>INDEX(Customers!$B$2:$B$81,MATCH(C146,Customers!$A$2:$A$81,0))</x:f>
        <x:v>Customer 72</x:v>
      </x:c>
      <x:c r="E146" t="str">
        <x:f>INDEX(Customers!$C$2:$C$81,MATCH(C146,Customers!$A$2:$A$81,0))</x:f>
        <x:v>Small Business</x:v>
      </x:c>
      <x:c r="F146" t="str">
        <x:f>INDEX(Customers!$D$2:$D$81,MATCH(C146,Customers!$A$2:$A$81,0))</x:f>
        <x:v>West</x:v>
      </x:c>
      <x:c r="G146" t="str">
        <x:f>Raw_Orders!D146</x:f>
        <x:v>P004</x:v>
      </x:c>
      <x:c r="H146" t="str">
        <x:f>INDEX(Products!$B$2:$B$13,MATCH(G146,Products!$A$2:$A$13,0))</x:f>
        <x:v>24in Monitor</x:v>
      </x:c>
      <x:c r="I146" t="str">
        <x:f>INDEX(Products!$C$2:$C$13,MATCH(G146,Products!$A$2:$A$13,0))</x:f>
        <x:v>Displays</x:v>
      </x:c>
      <x:c r="J146" t="str">
        <x:f>Raw_Orders!G146</x:f>
        <x:v>Partner</x:v>
      </x:c>
      <x:c r="K146" t="n">
        <x:f>Raw_Orders!E146</x:f>
        <x:v>6</x:v>
      </x:c>
      <x:c r="L146" s="12" t="n">
        <x:f>Raw_Orders!F146</x:f>
        <x:v>0.05</x:v>
      </x:c>
      <x:c r="M146" s="14" t="n">
        <x:f>INDEX(Products!$D$2:$D$13,MATCH(G146,Products!$A$2:$A$13,0))</x:f>
        <x:v>220</x:v>
      </x:c>
      <x:c r="N146" s="14" t="n">
        <x:f>INDEX(Products!$E$2:$E$13,MATCH(G146,Products!$A$2:$A$13,0))</x:f>
        <x:v>142</x:v>
      </x:c>
      <x:c r="O146" s="14" t="n">
        <x:f>K146*M146</x:f>
        <x:v>1320</x:v>
      </x:c>
      <x:c r="P146" s="14" t="n">
        <x:f>O146*(1-L146)</x:f>
        <x:v>1254</x:v>
      </x:c>
      <x:c r="Q146" s="14" t="n">
        <x:f>K146*N146</x:f>
        <x:v>852</x:v>
      </x:c>
      <x:c r="R146" s="14" t="n">
        <x:f>P146-Q146</x:f>
        <x:v>402</x:v>
      </x:c>
      <x:c r="S146" s="16" t="n">
        <x:f>IFERROR(R146/P146,0)</x:f>
        <x:v>0.32057416267942584</x:v>
      </x:c>
    </x:row>
    <x:row r="147" ht="15" hidden="0" customHeight="1">
      <x:c r="A147" t="str">
        <x:f>Raw_Orders!A147</x:f>
        <x:v>O0146</x:v>
      </x:c>
      <x:c r="B147" s="10" t="n">
        <x:f>Raw_Orders!B147</x:f>
        <x:v>46022</x:v>
      </x:c>
      <x:c r="C147" t="str">
        <x:f>Raw_Orders!C147</x:f>
        <x:v>C063</x:v>
      </x:c>
      <x:c r="D147" t="str">
        <x:f>INDEX(Customers!$B$2:$B$81,MATCH(C147,Customers!$A$2:$A$81,0))</x:f>
        <x:v>Customer 63</x:v>
      </x:c>
      <x:c r="E147" t="str">
        <x:f>INDEX(Customers!$C$2:$C$81,MATCH(C147,Customers!$A$2:$A$81,0))</x:f>
        <x:v>Small Business</x:v>
      </x:c>
      <x:c r="F147" t="str">
        <x:f>INDEX(Customers!$D$2:$D$81,MATCH(C147,Customers!$A$2:$A$81,0))</x:f>
        <x:v>East</x:v>
      </x:c>
      <x:c r="G147" t="str">
        <x:f>Raw_Orders!D147</x:f>
        <x:v>P008</x:v>
      </x:c>
      <x:c r="H147" t="str">
        <x:f>INDEX(Products!$B$2:$B$13,MATCH(G147,Products!$A$2:$A$13,0))</x:f>
        <x:v>Webcam</x:v>
      </x:c>
      <x:c r="I147" t="str">
        <x:f>INDEX(Products!$C$2:$C$13,MATCH(G147,Products!$A$2:$A$13,0))</x:f>
        <x:v>Accessories</x:v>
      </x:c>
      <x:c r="J147" t="str">
        <x:f>Raw_Orders!G147</x:f>
        <x:v>Retail</x:v>
      </x:c>
      <x:c r="K147" t="n">
        <x:f>Raw_Orders!E147</x:f>
        <x:v>1</x:v>
      </x:c>
      <x:c r="L147" s="12" t="n">
        <x:f>Raw_Orders!F147</x:f>
        <x:v>0</x:v>
      </x:c>
      <x:c r="M147" s="14" t="n">
        <x:f>INDEX(Products!$D$2:$D$13,MATCH(G147,Products!$A$2:$A$13,0))</x:f>
        <x:v>95</x:v>
      </x:c>
      <x:c r="N147" s="14" t="n">
        <x:f>INDEX(Products!$E$2:$E$13,MATCH(G147,Products!$A$2:$A$13,0))</x:f>
        <x:v>49</x:v>
      </x:c>
      <x:c r="O147" s="14" t="n">
        <x:f>K147*M147</x:f>
        <x:v>95</x:v>
      </x:c>
      <x:c r="P147" s="14" t="n">
        <x:f>O147*(1-L147)</x:f>
        <x:v>95</x:v>
      </x:c>
      <x:c r="Q147" s="14" t="n">
        <x:f>K147*N147</x:f>
        <x:v>49</x:v>
      </x:c>
      <x:c r="R147" s="14" t="n">
        <x:f>P147-Q147</x:f>
        <x:v>46</x:v>
      </x:c>
      <x:c r="S147" s="16" t="n">
        <x:f>IFERROR(R147/P147,0)</x:f>
        <x:v>0.4842105263157895</x:v>
      </x:c>
    </x:row>
    <x:row r="148" ht="15" hidden="0" customHeight="1">
      <x:c r="A148" t="str">
        <x:f>Raw_Orders!A148</x:f>
        <x:v>O0147</x:v>
      </x:c>
      <x:c r="B148" s="10" t="n">
        <x:f>Raw_Orders!B148</x:f>
        <x:v>45771</x:v>
      </x:c>
      <x:c r="C148" t="str">
        <x:f>Raw_Orders!C148</x:f>
        <x:v>C052</x:v>
      </x:c>
      <x:c r="D148" t="str">
        <x:f>INDEX(Customers!$B$2:$B$81,MATCH(C148,Customers!$A$2:$A$81,0))</x:f>
        <x:v>Customer 52</x:v>
      </x:c>
      <x:c r="E148" t="str">
        <x:f>INDEX(Customers!$C$2:$C$81,MATCH(C148,Customers!$A$2:$A$81,0))</x:f>
        <x:v>Consumer</x:v>
      </x:c>
      <x:c r="F148" t="str">
        <x:f>INDEX(Customers!$D$2:$D$81,MATCH(C148,Customers!$A$2:$A$81,0))</x:f>
        <x:v>West</x:v>
      </x:c>
      <x:c r="G148" t="str">
        <x:f>Raw_Orders!D148</x:f>
        <x:v>P012</x:v>
      </x:c>
      <x:c r="H148" t="str">
        <x:f>INDEX(Products!$B$2:$B$13,MATCH(G148,Products!$A$2:$A$13,0))</x:f>
        <x:v>Docking Station</x:v>
      </x:c>
      <x:c r="I148" t="str">
        <x:f>INDEX(Products!$C$2:$C$13,MATCH(G148,Products!$A$2:$A$13,0))</x:f>
        <x:v>Accessories</x:v>
      </x:c>
      <x:c r="J148" t="str">
        <x:f>Raw_Orders!G148</x:f>
        <x:v>Partner</x:v>
      </x:c>
      <x:c r="K148" t="n">
        <x:f>Raw_Orders!E148</x:f>
        <x:v>2</x:v>
      </x:c>
      <x:c r="L148" s="12" t="n">
        <x:f>Raw_Orders!F148</x:f>
        <x:v>0</x:v>
      </x:c>
      <x:c r="M148" s="14" t="n">
        <x:f>INDEX(Products!$D$2:$D$13,MATCH(G148,Products!$A$2:$A$13,0))</x:f>
        <x:v>180</x:v>
      </x:c>
      <x:c r="N148" s="14" t="n">
        <x:f>INDEX(Products!$E$2:$E$13,MATCH(G148,Products!$A$2:$A$13,0))</x:f>
        <x:v>104</x:v>
      </x:c>
      <x:c r="O148" s="14" t="n">
        <x:f>K148*M148</x:f>
        <x:v>360</x:v>
      </x:c>
      <x:c r="P148" s="14" t="n">
        <x:f>O148*(1-L148)</x:f>
        <x:v>360</x:v>
      </x:c>
      <x:c r="Q148" s="14" t="n">
        <x:f>K148*N148</x:f>
        <x:v>208</x:v>
      </x:c>
      <x:c r="R148" s="14" t="n">
        <x:f>P148-Q148</x:f>
        <x:v>152</x:v>
      </x:c>
      <x:c r="S148" s="16" t="n">
        <x:f>IFERROR(R148/P148,0)</x:f>
        <x:v>0.4222222222222222</x:v>
      </x:c>
    </x:row>
    <x:row r="149" ht="15" hidden="0" customHeight="1">
      <x:c r="A149" t="str">
        <x:f>Raw_Orders!A149</x:f>
        <x:v>O0148</x:v>
      </x:c>
      <x:c r="B149" s="10" t="n">
        <x:f>Raw_Orders!B149</x:f>
        <x:v>45955</x:v>
      </x:c>
      <x:c r="C149" t="str">
        <x:f>Raw_Orders!C149</x:f>
        <x:v>C048</x:v>
      </x:c>
      <x:c r="D149" t="str">
        <x:f>INDEX(Customers!$B$2:$B$81,MATCH(C149,Customers!$A$2:$A$81,0))</x:f>
        <x:v>Customer 48</x:v>
      </x:c>
      <x:c r="E149" t="str">
        <x:f>INDEX(Customers!$C$2:$C$81,MATCH(C149,Customers!$A$2:$A$81,0))</x:f>
        <x:v>Small Business</x:v>
      </x:c>
      <x:c r="F149" t="str">
        <x:f>INDEX(Customers!$D$2:$D$81,MATCH(C149,Customers!$A$2:$A$81,0))</x:f>
        <x:v>West</x:v>
      </x:c>
      <x:c r="G149" t="str">
        <x:f>Raw_Orders!D149</x:f>
        <x:v>P008</x:v>
      </x:c>
      <x:c r="H149" t="str">
        <x:f>INDEX(Products!$B$2:$B$13,MATCH(G149,Products!$A$2:$A$13,0))</x:f>
        <x:v>Webcam</x:v>
      </x:c>
      <x:c r="I149" t="str">
        <x:f>INDEX(Products!$C$2:$C$13,MATCH(G149,Products!$A$2:$A$13,0))</x:f>
        <x:v>Accessories</x:v>
      </x:c>
      <x:c r="J149" t="str">
        <x:f>Raw_Orders!G149</x:f>
        <x:v>Retail</x:v>
      </x:c>
      <x:c r="K149" t="n">
        <x:f>Raw_Orders!E149</x:f>
        <x:v>5</x:v>
      </x:c>
      <x:c r="L149" s="12" t="n">
        <x:f>Raw_Orders!F149</x:f>
        <x:v>0.1</x:v>
      </x:c>
      <x:c r="M149" s="14" t="n">
        <x:f>INDEX(Products!$D$2:$D$13,MATCH(G149,Products!$A$2:$A$13,0))</x:f>
        <x:v>95</x:v>
      </x:c>
      <x:c r="N149" s="14" t="n">
        <x:f>INDEX(Products!$E$2:$E$13,MATCH(G149,Products!$A$2:$A$13,0))</x:f>
        <x:v>49</x:v>
      </x:c>
      <x:c r="O149" s="14" t="n">
        <x:f>K149*M149</x:f>
        <x:v>475</x:v>
      </x:c>
      <x:c r="P149" s="14" t="n">
        <x:f>O149*(1-L149)</x:f>
        <x:v>427.5</x:v>
      </x:c>
      <x:c r="Q149" s="14" t="n">
        <x:f>K149*N149</x:f>
        <x:v>245</x:v>
      </x:c>
      <x:c r="R149" s="14" t="n">
        <x:f>P149-Q149</x:f>
        <x:v>182.5</x:v>
      </x:c>
      <x:c r="S149" s="16" t="n">
        <x:f>IFERROR(R149/P149,0)</x:f>
        <x:v>0.4269005847953216</x:v>
      </x:c>
    </x:row>
    <x:row r="150" ht="15" hidden="0" customHeight="1">
      <x:c r="A150" t="str">
        <x:f>Raw_Orders!A150</x:f>
        <x:v>O0149</x:v>
      </x:c>
      <x:c r="B150" s="10" t="n">
        <x:f>Raw_Orders!B150</x:f>
        <x:v>45875</x:v>
      </x:c>
      <x:c r="C150" t="str">
        <x:f>Raw_Orders!C150</x:f>
        <x:v>C071</x:v>
      </x:c>
      <x:c r="D150" t="str">
        <x:f>INDEX(Customers!$B$2:$B$81,MATCH(C150,Customers!$A$2:$A$81,0))</x:f>
        <x:v>Customer 71</x:v>
      </x:c>
      <x:c r="E150" t="str">
        <x:f>INDEX(Customers!$C$2:$C$81,MATCH(C150,Customers!$A$2:$A$81,0))</x:f>
        <x:v>Corporate</x:v>
      </x:c>
      <x:c r="F150" t="str">
        <x:f>INDEX(Customers!$D$2:$D$81,MATCH(C150,Customers!$A$2:$A$81,0))</x:f>
        <x:v>East</x:v>
      </x:c>
      <x:c r="G150" t="str">
        <x:f>Raw_Orders!D150</x:f>
        <x:v>P006</x:v>
      </x:c>
      <x:c r="H150" t="str">
        <x:f>INDEX(Products!$B$2:$B$13,MATCH(G150,Products!$A$2:$A$13,0))</x:f>
        <x:v>Laptop Stand</x:v>
      </x:c>
      <x:c r="I150" t="str">
        <x:f>INDEX(Products!$C$2:$C$13,MATCH(G150,Products!$A$2:$A$13,0))</x:f>
        <x:v>Office</x:v>
      </x:c>
      <x:c r="J150" t="str">
        <x:f>Raw_Orders!G150</x:f>
        <x:v>Retail</x:v>
      </x:c>
      <x:c r="K150" t="n">
        <x:f>Raw_Orders!E150</x:f>
        <x:v>3</x:v>
      </x:c>
      <x:c r="L150" s="12" t="n">
        <x:f>Raw_Orders!F150</x:f>
        <x:v>0.15</x:v>
      </x:c>
      <x:c r="M150" s="14" t="n">
        <x:f>INDEX(Products!$D$2:$D$13,MATCH(G150,Products!$A$2:$A$13,0))</x:f>
        <x:v>55</x:v>
      </x:c>
      <x:c r="N150" s="14" t="n">
        <x:f>INDEX(Products!$E$2:$E$13,MATCH(G150,Products!$A$2:$A$13,0))</x:f>
        <x:v>24</x:v>
      </x:c>
      <x:c r="O150" s="14" t="n">
        <x:f>K150*M150</x:f>
        <x:v>165</x:v>
      </x:c>
      <x:c r="P150" s="14" t="n">
        <x:f>O150*(1-L150)</x:f>
        <x:v>140.25</x:v>
      </x:c>
      <x:c r="Q150" s="14" t="n">
        <x:f>K150*N150</x:f>
        <x:v>72</x:v>
      </x:c>
      <x:c r="R150" s="14" t="n">
        <x:f>P150-Q150</x:f>
        <x:v>68.25</x:v>
      </x:c>
      <x:c r="S150" s="16" t="n">
        <x:f>IFERROR(R150/P150,0)</x:f>
        <x:v>0.48663101604278075</x:v>
      </x:c>
    </x:row>
    <x:row r="151" ht="15" hidden="0" customHeight="1">
      <x:c r="A151" t="str">
        <x:f>Raw_Orders!A151</x:f>
        <x:v>O0150</x:v>
      </x:c>
      <x:c r="B151" s="10" t="n">
        <x:f>Raw_Orders!B151</x:f>
        <x:v>45796</x:v>
      </x:c>
      <x:c r="C151" t="str">
        <x:f>Raw_Orders!C151</x:f>
        <x:v>C040</x:v>
      </x:c>
      <x:c r="D151" t="str">
        <x:f>INDEX(Customers!$B$2:$B$81,MATCH(C151,Customers!$A$2:$A$81,0))</x:f>
        <x:v>Customer 40</x:v>
      </x:c>
      <x:c r="E151" t="str">
        <x:f>INDEX(Customers!$C$2:$C$81,MATCH(C151,Customers!$A$2:$A$81,0))</x:f>
        <x:v>Consumer</x:v>
      </x:c>
      <x:c r="F151" t="str">
        <x:f>INDEX(Customers!$D$2:$D$81,MATCH(C151,Customers!$A$2:$A$81,0))</x:f>
        <x:v>West</x:v>
      </x:c>
      <x:c r="G151" t="str">
        <x:f>Raw_Orders!D151</x:f>
        <x:v>P005</x:v>
      </x:c>
      <x:c r="H151" t="str">
        <x:f>INDEX(Products!$B$2:$B$13,MATCH(G151,Products!$A$2:$A$13,0))</x:f>
        <x:v>27in Monitor</x:v>
      </x:c>
      <x:c r="I151" t="str">
        <x:f>INDEX(Products!$C$2:$C$13,MATCH(G151,Products!$A$2:$A$13,0))</x:f>
        <x:v>Displays</x:v>
      </x:c>
      <x:c r="J151" t="str">
        <x:f>Raw_Orders!G151</x:f>
        <x:v>Partner</x:v>
      </x:c>
      <x:c r="K151" t="n">
        <x:f>Raw_Orders!E151</x:f>
        <x:v>2</x:v>
      </x:c>
      <x:c r="L151" s="12" t="n">
        <x:f>Raw_Orders!F151</x:f>
        <x:v>0</x:v>
      </x:c>
      <x:c r="M151" s="14" t="n">
        <x:f>INDEX(Products!$D$2:$D$13,MATCH(G151,Products!$A$2:$A$13,0))</x:f>
        <x:v>310</x:v>
      </x:c>
      <x:c r="N151" s="14" t="n">
        <x:f>INDEX(Products!$E$2:$E$13,MATCH(G151,Products!$A$2:$A$13,0))</x:f>
        <x:v>205</x:v>
      </x:c>
      <x:c r="O151" s="14" t="n">
        <x:f>K151*M151</x:f>
        <x:v>620</x:v>
      </x:c>
      <x:c r="P151" s="14" t="n">
        <x:f>O151*(1-L151)</x:f>
        <x:v>620</x:v>
      </x:c>
      <x:c r="Q151" s="14" t="n">
        <x:f>K151*N151</x:f>
        <x:v>410</x:v>
      </x:c>
      <x:c r="R151" s="14" t="n">
        <x:f>P151-Q151</x:f>
        <x:v>210</x:v>
      </x:c>
      <x:c r="S151" s="16" t="n">
        <x:f>IFERROR(R151/P151,0)</x:f>
        <x:v>0.3387096774193548</x:v>
      </x:c>
    </x:row>
    <x:row r="152" ht="15" hidden="0" customHeight="1">
      <x:c r="A152" t="str">
        <x:f>Raw_Orders!A152</x:f>
        <x:v>O0151</x:v>
      </x:c>
      <x:c r="B152" s="10" t="n">
        <x:f>Raw_Orders!B152</x:f>
        <x:v>45756</x:v>
      </x:c>
      <x:c r="C152" t="str">
        <x:f>Raw_Orders!C152</x:f>
        <x:v>C041</x:v>
      </x:c>
      <x:c r="D152" t="str">
        <x:f>INDEX(Customers!$B$2:$B$81,MATCH(C152,Customers!$A$2:$A$81,0))</x:f>
        <x:v>Customer 41</x:v>
      </x:c>
      <x:c r="E152" t="str">
        <x:f>INDEX(Customers!$C$2:$C$81,MATCH(C152,Customers!$A$2:$A$81,0))</x:f>
        <x:v>Corporate</x:v>
      </x:c>
      <x:c r="F152" t="str">
        <x:f>INDEX(Customers!$D$2:$D$81,MATCH(C152,Customers!$A$2:$A$81,0))</x:f>
        <x:v>North</x:v>
      </x:c>
      <x:c r="G152" t="str">
        <x:f>Raw_Orders!D152</x:f>
        <x:v>P002</x:v>
      </x:c>
      <x:c r="H152" t="str">
        <x:f>INDEX(Products!$B$2:$B$13,MATCH(G152,Products!$A$2:$A$13,0))</x:f>
        <x:v>Mechanical Keyboard</x:v>
      </x:c>
      <x:c r="I152" t="str">
        <x:f>INDEX(Products!$C$2:$C$13,MATCH(G152,Products!$A$2:$A$13,0))</x:f>
        <x:v>Accessories</x:v>
      </x:c>
      <x:c r="J152" t="str">
        <x:f>Raw_Orders!G152</x:f>
        <x:v>Partner</x:v>
      </x:c>
      <x:c r="K152" t="n">
        <x:f>Raw_Orders!E152</x:f>
        <x:v>6</x:v>
      </x:c>
      <x:c r="L152" s="12" t="n">
        <x:f>Raw_Orders!F152</x:f>
        <x:v>0.1</x:v>
      </x:c>
      <x:c r="M152" s="14" t="n">
        <x:f>INDEX(Products!$D$2:$D$13,MATCH(G152,Products!$A$2:$A$13,0))</x:f>
        <x:v>110</x:v>
      </x:c>
      <x:c r="N152" s="14" t="n">
        <x:f>INDEX(Products!$E$2:$E$13,MATCH(G152,Products!$A$2:$A$13,0))</x:f>
        <x:v>58</x:v>
      </x:c>
      <x:c r="O152" s="14" t="n">
        <x:f>K152*M152</x:f>
        <x:v>660</x:v>
      </x:c>
      <x:c r="P152" s="14" t="n">
        <x:f>O152*(1-L152)</x:f>
        <x:v>594</x:v>
      </x:c>
      <x:c r="Q152" s="14" t="n">
        <x:f>K152*N152</x:f>
        <x:v>348</x:v>
      </x:c>
      <x:c r="R152" s="14" t="n">
        <x:f>P152-Q152</x:f>
        <x:v>246</x:v>
      </x:c>
      <x:c r="S152" s="16" t="n">
        <x:f>IFERROR(R152/P152,0)</x:f>
        <x:v>0.41414141414141414</x:v>
      </x:c>
    </x:row>
    <x:row r="153" ht="15" hidden="0" customHeight="1">
      <x:c r="A153" t="str">
        <x:f>Raw_Orders!A153</x:f>
        <x:v>O0152</x:v>
      </x:c>
      <x:c r="B153" s="10" t="n">
        <x:f>Raw_Orders!B153</x:f>
        <x:v>45752</x:v>
      </x:c>
      <x:c r="C153" t="str">
        <x:f>Raw_Orders!C153</x:f>
        <x:v>C025</x:v>
      </x:c>
      <x:c r="D153" t="str">
        <x:f>INDEX(Customers!$B$2:$B$81,MATCH(C153,Customers!$A$2:$A$81,0))</x:f>
        <x:v>Customer 25</x:v>
      </x:c>
      <x:c r="E153" t="str">
        <x:f>INDEX(Customers!$C$2:$C$81,MATCH(C153,Customers!$A$2:$A$81,0))</x:f>
        <x:v>Consumer</x:v>
      </x:c>
      <x:c r="F153" t="str">
        <x:f>INDEX(Customers!$D$2:$D$81,MATCH(C153,Customers!$A$2:$A$81,0))</x:f>
        <x:v>North</x:v>
      </x:c>
      <x:c r="G153" t="str">
        <x:f>Raw_Orders!D153</x:f>
        <x:v>P004</x:v>
      </x:c>
      <x:c r="H153" t="str">
        <x:f>INDEX(Products!$B$2:$B$13,MATCH(G153,Products!$A$2:$A$13,0))</x:f>
        <x:v>24in Monitor</x:v>
      </x:c>
      <x:c r="I153" t="str">
        <x:f>INDEX(Products!$C$2:$C$13,MATCH(G153,Products!$A$2:$A$13,0))</x:f>
        <x:v>Displays</x:v>
      </x:c>
      <x:c r="J153" t="str">
        <x:f>Raw_Orders!G153</x:f>
        <x:v>Retail</x:v>
      </x:c>
      <x:c r="K153" t="n">
        <x:f>Raw_Orders!E153</x:f>
        <x:v>6</x:v>
      </x:c>
      <x:c r="L153" s="12" t="n">
        <x:f>Raw_Orders!F153</x:f>
        <x:v>0.05</x:v>
      </x:c>
      <x:c r="M153" s="14" t="n">
        <x:f>INDEX(Products!$D$2:$D$13,MATCH(G153,Products!$A$2:$A$13,0))</x:f>
        <x:v>220</x:v>
      </x:c>
      <x:c r="N153" s="14" t="n">
        <x:f>INDEX(Products!$E$2:$E$13,MATCH(G153,Products!$A$2:$A$13,0))</x:f>
        <x:v>142</x:v>
      </x:c>
      <x:c r="O153" s="14" t="n">
        <x:f>K153*M153</x:f>
        <x:v>1320</x:v>
      </x:c>
      <x:c r="P153" s="14" t="n">
        <x:f>O153*(1-L153)</x:f>
        <x:v>1254</x:v>
      </x:c>
      <x:c r="Q153" s="14" t="n">
        <x:f>K153*N153</x:f>
        <x:v>852</x:v>
      </x:c>
      <x:c r="R153" s="14" t="n">
        <x:f>P153-Q153</x:f>
        <x:v>402</x:v>
      </x:c>
      <x:c r="S153" s="16" t="n">
        <x:f>IFERROR(R153/P153,0)</x:f>
        <x:v>0.32057416267942584</x:v>
      </x:c>
    </x:row>
    <x:row r="154" ht="15" hidden="0" customHeight="1">
      <x:c r="A154" t="str">
        <x:f>Raw_Orders!A154</x:f>
        <x:v>O0153</x:v>
      </x:c>
      <x:c r="B154" s="10" t="n">
        <x:f>Raw_Orders!B154</x:f>
        <x:v>45959</x:v>
      </x:c>
      <x:c r="C154" t="str">
        <x:f>Raw_Orders!C154</x:f>
        <x:v>C068</x:v>
      </x:c>
      <x:c r="D154" t="str">
        <x:f>INDEX(Customers!$B$2:$B$81,MATCH(C154,Customers!$A$2:$A$81,0))</x:f>
        <x:v>Customer 68</x:v>
      </x:c>
      <x:c r="E154" t="str">
        <x:f>INDEX(Customers!$C$2:$C$81,MATCH(C154,Customers!$A$2:$A$81,0))</x:f>
        <x:v>Corporate</x:v>
      </x:c>
      <x:c r="F154" t="str">
        <x:f>INDEX(Customers!$D$2:$D$81,MATCH(C154,Customers!$A$2:$A$81,0))</x:f>
        <x:v>West</x:v>
      </x:c>
      <x:c r="G154" t="str">
        <x:f>Raw_Orders!D154</x:f>
        <x:v>P010</x:v>
      </x:c>
      <x:c r="H154" t="str">
        <x:f>INDEX(Products!$B$2:$B$13,MATCH(G154,Products!$A$2:$A$13,0))</x:f>
        <x:v>Portable SSD</x:v>
      </x:c>
      <x:c r="I154" t="str">
        <x:f>INDEX(Products!$C$2:$C$13,MATCH(G154,Products!$A$2:$A$13,0))</x:f>
        <x:v>Storage</x:v>
      </x:c>
      <x:c r="J154" t="str">
        <x:f>Raw_Orders!G154</x:f>
        <x:v>Online</x:v>
      </x:c>
      <x:c r="K154" t="n">
        <x:f>Raw_Orders!E154</x:f>
        <x:v>3</x:v>
      </x:c>
      <x:c r="L154" s="12" t="n">
        <x:f>Raw_Orders!F154</x:f>
        <x:v>0</x:v>
      </x:c>
      <x:c r="M154" s="14" t="n">
        <x:f>INDEX(Products!$D$2:$D$13,MATCH(G154,Products!$A$2:$A$13,0))</x:f>
        <x:v>145</x:v>
      </x:c>
      <x:c r="N154" s="14" t="n">
        <x:f>INDEX(Products!$E$2:$E$13,MATCH(G154,Products!$A$2:$A$13,0))</x:f>
        <x:v>86</x:v>
      </x:c>
      <x:c r="O154" s="14" t="n">
        <x:f>K154*M154</x:f>
        <x:v>435</x:v>
      </x:c>
      <x:c r="P154" s="14" t="n">
        <x:f>O154*(1-L154)</x:f>
        <x:v>435</x:v>
      </x:c>
      <x:c r="Q154" s="14" t="n">
        <x:f>K154*N154</x:f>
        <x:v>258</x:v>
      </x:c>
      <x:c r="R154" s="14" t="n">
        <x:f>P154-Q154</x:f>
        <x:v>177</x:v>
      </x:c>
      <x:c r="S154" s="16" t="n">
        <x:f>IFERROR(R154/P154,0)</x:f>
        <x:v>0.4068965517241379</x:v>
      </x:c>
    </x:row>
    <x:row r="155" ht="15" hidden="0" customHeight="1">
      <x:c r="A155" t="str">
        <x:f>Raw_Orders!A155</x:f>
        <x:v>O0154</x:v>
      </x:c>
      <x:c r="B155" s="10" t="n">
        <x:f>Raw_Orders!B155</x:f>
        <x:v>45809</x:v>
      </x:c>
      <x:c r="C155" t="str">
        <x:f>Raw_Orders!C155</x:f>
        <x:v>C030</x:v>
      </x:c>
      <x:c r="D155" t="str">
        <x:f>INDEX(Customers!$B$2:$B$81,MATCH(C155,Customers!$A$2:$A$81,0))</x:f>
        <x:v>Customer 30</x:v>
      </x:c>
      <x:c r="E155" t="str">
        <x:f>INDEX(Customers!$C$2:$C$81,MATCH(C155,Customers!$A$2:$A$81,0))</x:f>
        <x:v>Small Business</x:v>
      </x:c>
      <x:c r="F155" t="str">
        <x:f>INDEX(Customers!$D$2:$D$81,MATCH(C155,Customers!$A$2:$A$81,0))</x:f>
        <x:v>South</x:v>
      </x:c>
      <x:c r="G155" t="str">
        <x:f>Raw_Orders!D155</x:f>
        <x:v>P006</x:v>
      </x:c>
      <x:c r="H155" t="str">
        <x:f>INDEX(Products!$B$2:$B$13,MATCH(G155,Products!$A$2:$A$13,0))</x:f>
        <x:v>Laptop Stand</x:v>
      </x:c>
      <x:c r="I155" t="str">
        <x:f>INDEX(Products!$C$2:$C$13,MATCH(G155,Products!$A$2:$A$13,0))</x:f>
        <x:v>Office</x:v>
      </x:c>
      <x:c r="J155" t="str">
        <x:f>Raw_Orders!G155</x:f>
        <x:v>Online</x:v>
      </x:c>
      <x:c r="K155" t="n">
        <x:f>Raw_Orders!E155</x:f>
        <x:v>2</x:v>
      </x:c>
      <x:c r="L155" s="12" t="n">
        <x:f>Raw_Orders!F155</x:f>
        <x:v>0</x:v>
      </x:c>
      <x:c r="M155" s="14" t="n">
        <x:f>INDEX(Products!$D$2:$D$13,MATCH(G155,Products!$A$2:$A$13,0))</x:f>
        <x:v>55</x:v>
      </x:c>
      <x:c r="N155" s="14" t="n">
        <x:f>INDEX(Products!$E$2:$E$13,MATCH(G155,Products!$A$2:$A$13,0))</x:f>
        <x:v>24</x:v>
      </x:c>
      <x:c r="O155" s="14" t="n">
        <x:f>K155*M155</x:f>
        <x:v>110</x:v>
      </x:c>
      <x:c r="P155" s="14" t="n">
        <x:f>O155*(1-L155)</x:f>
        <x:v>110</x:v>
      </x:c>
      <x:c r="Q155" s="14" t="n">
        <x:f>K155*N155</x:f>
        <x:v>48</x:v>
      </x:c>
      <x:c r="R155" s="14" t="n">
        <x:f>P155-Q155</x:f>
        <x:v>62</x:v>
      </x:c>
      <x:c r="S155" s="16" t="n">
        <x:f>IFERROR(R155/P155,0)</x:f>
        <x:v>0.5636363636363636</x:v>
      </x:c>
    </x:row>
    <x:row r="156" ht="15" hidden="0" customHeight="1">
      <x:c r="A156" t="str">
        <x:f>Raw_Orders!A156</x:f>
        <x:v>O0155</x:v>
      </x:c>
      <x:c r="B156" s="10" t="n">
        <x:f>Raw_Orders!B156</x:f>
        <x:v>46020</x:v>
      </x:c>
      <x:c r="C156" t="str">
        <x:f>Raw_Orders!C156</x:f>
        <x:v>C069</x:v>
      </x:c>
      <x:c r="D156" t="str">
        <x:f>INDEX(Customers!$B$2:$B$81,MATCH(C156,Customers!$A$2:$A$81,0))</x:f>
        <x:v>Customer 69</x:v>
      </x:c>
      <x:c r="E156" t="str">
        <x:f>INDEX(Customers!$C$2:$C$81,MATCH(C156,Customers!$A$2:$A$81,0))</x:f>
        <x:v>Small Business</x:v>
      </x:c>
      <x:c r="F156" t="str">
        <x:f>INDEX(Customers!$D$2:$D$81,MATCH(C156,Customers!$A$2:$A$81,0))</x:f>
        <x:v>North</x:v>
      </x:c>
      <x:c r="G156" t="str">
        <x:f>Raw_Orders!D156</x:f>
        <x:v>P003</x:v>
      </x:c>
      <x:c r="H156" t="str">
        <x:f>INDEX(Products!$B$2:$B$13,MATCH(G156,Products!$A$2:$A$13,0))</x:f>
        <x:v>USB-C Hub</x:v>
      </x:c>
      <x:c r="I156" t="str">
        <x:f>INDEX(Products!$C$2:$C$13,MATCH(G156,Products!$A$2:$A$13,0))</x:f>
        <x:v>Accessories</x:v>
      </x:c>
      <x:c r="J156" t="str">
        <x:f>Raw_Orders!G156</x:f>
        <x:v>Online</x:v>
      </x:c>
      <x:c r="K156" t="n">
        <x:f>Raw_Orders!E156</x:f>
        <x:v>3</x:v>
      </x:c>
      <x:c r="L156" s="12" t="n">
        <x:f>Raw_Orders!F156</x:f>
        <x:v>0</x:v>
      </x:c>
      <x:c r="M156" s="14" t="n">
        <x:f>INDEX(Products!$D$2:$D$13,MATCH(G156,Products!$A$2:$A$13,0))</x:f>
        <x:v>65</x:v>
      </x:c>
      <x:c r="N156" s="14" t="n">
        <x:f>INDEX(Products!$E$2:$E$13,MATCH(G156,Products!$A$2:$A$13,0))</x:f>
        <x:v>31</x:v>
      </x:c>
      <x:c r="O156" s="14" t="n">
        <x:f>K156*M156</x:f>
        <x:v>195</x:v>
      </x:c>
      <x:c r="P156" s="14" t="n">
        <x:f>O156*(1-L156)</x:f>
        <x:v>195</x:v>
      </x:c>
      <x:c r="Q156" s="14" t="n">
        <x:f>K156*N156</x:f>
        <x:v>93</x:v>
      </x:c>
      <x:c r="R156" s="14" t="n">
        <x:f>P156-Q156</x:f>
        <x:v>102</x:v>
      </x:c>
      <x:c r="S156" s="16" t="n">
        <x:f>IFERROR(R156/P156,0)</x:f>
        <x:v>0.5230769230769231</x:v>
      </x:c>
    </x:row>
    <x:row r="157" ht="15" hidden="0" customHeight="1">
      <x:c r="A157" t="str">
        <x:f>Raw_Orders!A157</x:f>
        <x:v>O0156</x:v>
      </x:c>
      <x:c r="B157" s="10" t="n">
        <x:f>Raw_Orders!B157</x:f>
        <x:v>45941</x:v>
      </x:c>
      <x:c r="C157" t="str">
        <x:f>Raw_Orders!C157</x:f>
        <x:v>C038</x:v>
      </x:c>
      <x:c r="D157" t="str">
        <x:f>INDEX(Customers!$B$2:$B$81,MATCH(C157,Customers!$A$2:$A$81,0))</x:f>
        <x:v>Customer 38</x:v>
      </x:c>
      <x:c r="E157" t="str">
        <x:f>INDEX(Customers!$C$2:$C$81,MATCH(C157,Customers!$A$2:$A$81,0))</x:f>
        <x:v>Corporate</x:v>
      </x:c>
      <x:c r="F157" t="str">
        <x:f>INDEX(Customers!$D$2:$D$81,MATCH(C157,Customers!$A$2:$A$81,0))</x:f>
        <x:v>South</x:v>
      </x:c>
      <x:c r="G157" t="str">
        <x:f>Raw_Orders!D157</x:f>
        <x:v>P012</x:v>
      </x:c>
      <x:c r="H157" t="str">
        <x:f>INDEX(Products!$B$2:$B$13,MATCH(G157,Products!$A$2:$A$13,0))</x:f>
        <x:v>Docking Station</x:v>
      </x:c>
      <x:c r="I157" t="str">
        <x:f>INDEX(Products!$C$2:$C$13,MATCH(G157,Products!$A$2:$A$13,0))</x:f>
        <x:v>Accessories</x:v>
      </x:c>
      <x:c r="J157" t="str">
        <x:f>Raw_Orders!G157</x:f>
        <x:v>Retail</x:v>
      </x:c>
      <x:c r="K157" t="n">
        <x:f>Raw_Orders!E157</x:f>
        <x:v>2</x:v>
      </x:c>
      <x:c r="L157" s="12" t="n">
        <x:f>Raw_Orders!F157</x:f>
        <x:v>0.15</x:v>
      </x:c>
      <x:c r="M157" s="14" t="n">
        <x:f>INDEX(Products!$D$2:$D$13,MATCH(G157,Products!$A$2:$A$13,0))</x:f>
        <x:v>180</x:v>
      </x:c>
      <x:c r="N157" s="14" t="n">
        <x:f>INDEX(Products!$E$2:$E$13,MATCH(G157,Products!$A$2:$A$13,0))</x:f>
        <x:v>104</x:v>
      </x:c>
      <x:c r="O157" s="14" t="n">
        <x:f>K157*M157</x:f>
        <x:v>360</x:v>
      </x:c>
      <x:c r="P157" s="14" t="n">
        <x:f>O157*(1-L157)</x:f>
        <x:v>306</x:v>
      </x:c>
      <x:c r="Q157" s="14" t="n">
        <x:f>K157*N157</x:f>
        <x:v>208</x:v>
      </x:c>
      <x:c r="R157" s="14" t="n">
        <x:f>P157-Q157</x:f>
        <x:v>98</x:v>
      </x:c>
      <x:c r="S157" s="16" t="n">
        <x:f>IFERROR(R157/P157,0)</x:f>
        <x:v>0.3202614379084967</x:v>
      </x:c>
    </x:row>
    <x:row r="158" ht="15" hidden="0" customHeight="1">
      <x:c r="A158" t="str">
        <x:f>Raw_Orders!A158</x:f>
        <x:v>O0157</x:v>
      </x:c>
      <x:c r="B158" s="10" t="n">
        <x:f>Raw_Orders!B158</x:f>
        <x:v>45710</x:v>
      </x:c>
      <x:c r="C158" t="str">
        <x:f>Raw_Orders!C158</x:f>
        <x:v>C002</x:v>
      </x:c>
      <x:c r="D158" t="str">
        <x:f>INDEX(Customers!$B$2:$B$81,MATCH(C158,Customers!$A$2:$A$81,0))</x:f>
        <x:v>Customer 02</x:v>
      </x:c>
      <x:c r="E158" t="str">
        <x:f>INDEX(Customers!$C$2:$C$81,MATCH(C158,Customers!$A$2:$A$81,0))</x:f>
        <x:v>Corporate</x:v>
      </x:c>
      <x:c r="F158" t="str">
        <x:f>INDEX(Customers!$D$2:$D$81,MATCH(C158,Customers!$A$2:$A$81,0))</x:f>
        <x:v>South</x:v>
      </x:c>
      <x:c r="G158" t="str">
        <x:f>Raw_Orders!D158</x:f>
        <x:v>P010</x:v>
      </x:c>
      <x:c r="H158" t="str">
        <x:f>INDEX(Products!$B$2:$B$13,MATCH(G158,Products!$A$2:$A$13,0))</x:f>
        <x:v>Portable SSD</x:v>
      </x:c>
      <x:c r="I158" t="str">
        <x:f>INDEX(Products!$C$2:$C$13,MATCH(G158,Products!$A$2:$A$13,0))</x:f>
        <x:v>Storage</x:v>
      </x:c>
      <x:c r="J158" t="str">
        <x:f>Raw_Orders!G158</x:f>
        <x:v>Retail</x:v>
      </x:c>
      <x:c r="K158" t="n">
        <x:f>Raw_Orders!E158</x:f>
        <x:v>3</x:v>
      </x:c>
      <x:c r="L158" s="12" t="n">
        <x:f>Raw_Orders!F158</x:f>
        <x:v>0.05</x:v>
      </x:c>
      <x:c r="M158" s="14" t="n">
        <x:f>INDEX(Products!$D$2:$D$13,MATCH(G158,Products!$A$2:$A$13,0))</x:f>
        <x:v>145</x:v>
      </x:c>
      <x:c r="N158" s="14" t="n">
        <x:f>INDEX(Products!$E$2:$E$13,MATCH(G158,Products!$A$2:$A$13,0))</x:f>
        <x:v>86</x:v>
      </x:c>
      <x:c r="O158" s="14" t="n">
        <x:f>K158*M158</x:f>
        <x:v>435</x:v>
      </x:c>
      <x:c r="P158" s="14" t="n">
        <x:f>O158*(1-L158)</x:f>
        <x:v>413.25</x:v>
      </x:c>
      <x:c r="Q158" s="14" t="n">
        <x:f>K158*N158</x:f>
        <x:v>258</x:v>
      </x:c>
      <x:c r="R158" s="14" t="n">
        <x:f>P158-Q158</x:f>
        <x:v>155.25</x:v>
      </x:c>
      <x:c r="S158" s="16" t="n">
        <x:f>IFERROR(R158/P158,0)</x:f>
        <x:v>0.37568058076225047</x:v>
      </x:c>
    </x:row>
    <x:row r="159" ht="15" hidden="0" customHeight="1">
      <x:c r="A159" t="str">
        <x:f>Raw_Orders!A159</x:f>
        <x:v>O0158</x:v>
      </x:c>
      <x:c r="B159" s="10" t="n">
        <x:f>Raw_Orders!B159</x:f>
        <x:v>45883</x:v>
      </x:c>
      <x:c r="C159" t="str">
        <x:f>Raw_Orders!C159</x:f>
        <x:v>C044</x:v>
      </x:c>
      <x:c r="D159" t="str">
        <x:f>INDEX(Customers!$B$2:$B$81,MATCH(C159,Customers!$A$2:$A$81,0))</x:f>
        <x:v>Customer 44</x:v>
      </x:c>
      <x:c r="E159" t="str">
        <x:f>INDEX(Customers!$C$2:$C$81,MATCH(C159,Customers!$A$2:$A$81,0))</x:f>
        <x:v>Corporate</x:v>
      </x:c>
      <x:c r="F159" t="str">
        <x:f>INDEX(Customers!$D$2:$D$81,MATCH(C159,Customers!$A$2:$A$81,0))</x:f>
        <x:v>West</x:v>
      </x:c>
      <x:c r="G159" t="str">
        <x:f>Raw_Orders!D159</x:f>
        <x:v>P003</x:v>
      </x:c>
      <x:c r="H159" t="str">
        <x:f>INDEX(Products!$B$2:$B$13,MATCH(G159,Products!$A$2:$A$13,0))</x:f>
        <x:v>USB-C Hub</x:v>
      </x:c>
      <x:c r="I159" t="str">
        <x:f>INDEX(Products!$C$2:$C$13,MATCH(G159,Products!$A$2:$A$13,0))</x:f>
        <x:v>Accessories</x:v>
      </x:c>
      <x:c r="J159" t="str">
        <x:f>Raw_Orders!G159</x:f>
        <x:v>Retail</x:v>
      </x:c>
      <x:c r="K159" t="n">
        <x:f>Raw_Orders!E159</x:f>
        <x:v>1</x:v>
      </x:c>
      <x:c r="L159" s="12" t="n">
        <x:f>Raw_Orders!F159</x:f>
        <x:v>0</x:v>
      </x:c>
      <x:c r="M159" s="14" t="n">
        <x:f>INDEX(Products!$D$2:$D$13,MATCH(G159,Products!$A$2:$A$13,0))</x:f>
        <x:v>65</x:v>
      </x:c>
      <x:c r="N159" s="14" t="n">
        <x:f>INDEX(Products!$E$2:$E$13,MATCH(G159,Products!$A$2:$A$13,0))</x:f>
        <x:v>31</x:v>
      </x:c>
      <x:c r="O159" s="14" t="n">
        <x:f>K159*M159</x:f>
        <x:v>65</x:v>
      </x:c>
      <x:c r="P159" s="14" t="n">
        <x:f>O159*(1-L159)</x:f>
        <x:v>65</x:v>
      </x:c>
      <x:c r="Q159" s="14" t="n">
        <x:f>K159*N159</x:f>
        <x:v>31</x:v>
      </x:c>
      <x:c r="R159" s="14" t="n">
        <x:f>P159-Q159</x:f>
        <x:v>34</x:v>
      </x:c>
      <x:c r="S159" s="16" t="n">
        <x:f>IFERROR(R159/P159,0)</x:f>
        <x:v>0.5230769230769231</x:v>
      </x:c>
    </x:row>
    <x:row r="160" ht="15" hidden="0" customHeight="1">
      <x:c r="A160" t="str">
        <x:f>Raw_Orders!A160</x:f>
        <x:v>O0159</x:v>
      </x:c>
      <x:c r="B160" s="10" t="n">
        <x:f>Raw_Orders!B160</x:f>
        <x:v>45716</x:v>
      </x:c>
      <x:c r="C160" t="str">
        <x:f>Raw_Orders!C160</x:f>
        <x:v>C009</x:v>
      </x:c>
      <x:c r="D160" t="str">
        <x:f>INDEX(Customers!$B$2:$B$81,MATCH(C160,Customers!$A$2:$A$81,0))</x:f>
        <x:v>Customer 09</x:v>
      </x:c>
      <x:c r="E160" t="str">
        <x:f>INDEX(Customers!$C$2:$C$81,MATCH(C160,Customers!$A$2:$A$81,0))</x:f>
        <x:v>Small Business</x:v>
      </x:c>
      <x:c r="F160" t="str">
        <x:f>INDEX(Customers!$D$2:$D$81,MATCH(C160,Customers!$A$2:$A$81,0))</x:f>
        <x:v>North</x:v>
      </x:c>
      <x:c r="G160" t="str">
        <x:f>Raw_Orders!D160</x:f>
        <x:v>P007</x:v>
      </x:c>
      <x:c r="H160" t="str">
        <x:f>INDEX(Products!$B$2:$B$13,MATCH(G160,Products!$A$2:$A$13,0))</x:f>
        <x:v>Ergonomic Chair</x:v>
      </x:c>
      <x:c r="I160" t="str">
        <x:f>INDEX(Products!$C$2:$C$13,MATCH(G160,Products!$A$2:$A$13,0))</x:f>
        <x:v>Office</x:v>
      </x:c>
      <x:c r="J160" t="str">
        <x:f>Raw_Orders!G160</x:f>
        <x:v>Partner</x:v>
      </x:c>
      <x:c r="K160" t="n">
        <x:f>Raw_Orders!E160</x:f>
        <x:v>4</x:v>
      </x:c>
      <x:c r="L160" s="12" t="n">
        <x:f>Raw_Orders!F160</x:f>
        <x:v>0</x:v>
      </x:c>
      <x:c r="M160" s="14" t="n">
        <x:f>INDEX(Products!$D$2:$D$13,MATCH(G160,Products!$A$2:$A$13,0))</x:f>
        <x:v>390</x:v>
      </x:c>
      <x:c r="N160" s="14" t="n">
        <x:f>INDEX(Products!$E$2:$E$13,MATCH(G160,Products!$A$2:$A$13,0))</x:f>
        <x:v>245</x:v>
      </x:c>
      <x:c r="O160" s="14" t="n">
        <x:f>K160*M160</x:f>
        <x:v>1560</x:v>
      </x:c>
      <x:c r="P160" s="14" t="n">
        <x:f>O160*(1-L160)</x:f>
        <x:v>1560</x:v>
      </x:c>
      <x:c r="Q160" s="14" t="n">
        <x:f>K160*N160</x:f>
        <x:v>980</x:v>
      </x:c>
      <x:c r="R160" s="14" t="n">
        <x:f>P160-Q160</x:f>
        <x:v>580</x:v>
      </x:c>
      <x:c r="S160" s="16" t="n">
        <x:f>IFERROR(R160/P160,0)</x:f>
        <x:v>0.3717948717948718</x:v>
      </x:c>
    </x:row>
    <x:row r="161" ht="15" hidden="0" customHeight="1">
      <x:c r="A161" t="str">
        <x:f>Raw_Orders!A161</x:f>
        <x:v>O0160</x:v>
      </x:c>
      <x:c r="B161" s="10" t="n">
        <x:f>Raw_Orders!B161</x:f>
        <x:v>45980</x:v>
      </x:c>
      <x:c r="C161" t="str">
        <x:f>Raw_Orders!C161</x:f>
        <x:v>C007</x:v>
      </x:c>
      <x:c r="D161" t="str">
        <x:f>INDEX(Customers!$B$2:$B$81,MATCH(C161,Customers!$A$2:$A$81,0))</x:f>
        <x:v>Customer 07</x:v>
      </x:c>
      <x:c r="E161" t="str">
        <x:f>INDEX(Customers!$C$2:$C$81,MATCH(C161,Customers!$A$2:$A$81,0))</x:f>
        <x:v>Consumer</x:v>
      </x:c>
      <x:c r="F161" t="str">
        <x:f>INDEX(Customers!$D$2:$D$81,MATCH(C161,Customers!$A$2:$A$81,0))</x:f>
        <x:v>East</x:v>
      </x:c>
      <x:c r="G161" t="str">
        <x:f>Raw_Orders!D161</x:f>
        <x:v>P003</x:v>
      </x:c>
      <x:c r="H161" t="str">
        <x:f>INDEX(Products!$B$2:$B$13,MATCH(G161,Products!$A$2:$A$13,0))</x:f>
        <x:v>USB-C Hub</x:v>
      </x:c>
      <x:c r="I161" t="str">
        <x:f>INDEX(Products!$C$2:$C$13,MATCH(G161,Products!$A$2:$A$13,0))</x:f>
        <x:v>Accessories</x:v>
      </x:c>
      <x:c r="J161" t="str">
        <x:f>Raw_Orders!G161</x:f>
        <x:v>Retail</x:v>
      </x:c>
      <x:c r="K161" t="n">
        <x:f>Raw_Orders!E161</x:f>
        <x:v>2</x:v>
      </x:c>
      <x:c r="L161" s="12" t="n">
        <x:f>Raw_Orders!F161</x:f>
        <x:v>0.1</x:v>
      </x:c>
      <x:c r="M161" s="14" t="n">
        <x:f>INDEX(Products!$D$2:$D$13,MATCH(G161,Products!$A$2:$A$13,0))</x:f>
        <x:v>65</x:v>
      </x:c>
      <x:c r="N161" s="14" t="n">
        <x:f>INDEX(Products!$E$2:$E$13,MATCH(G161,Products!$A$2:$A$13,0))</x:f>
        <x:v>31</x:v>
      </x:c>
      <x:c r="O161" s="14" t="n">
        <x:f>K161*M161</x:f>
        <x:v>130</x:v>
      </x:c>
      <x:c r="P161" s="14" t="n">
        <x:f>O161*(1-L161)</x:f>
        <x:v>117</x:v>
      </x:c>
      <x:c r="Q161" s="14" t="n">
        <x:f>K161*N161</x:f>
        <x:v>62</x:v>
      </x:c>
      <x:c r="R161" s="14" t="n">
        <x:f>P161-Q161</x:f>
        <x:v>55</x:v>
      </x:c>
      <x:c r="S161" s="16" t="n">
        <x:f>IFERROR(R161/P161,0)</x:f>
        <x:v>0.4700854700854701</x:v>
      </x:c>
    </x:row>
    <x:row r="162" ht="15" hidden="0" customHeight="1">
      <x:c r="A162" t="str">
        <x:f>Raw_Orders!A162</x:f>
        <x:v>O0161</x:v>
      </x:c>
      <x:c r="B162" s="10" t="n">
        <x:f>Raw_Orders!B162</x:f>
        <x:v>45701</x:v>
      </x:c>
      <x:c r="C162" t="str">
        <x:f>Raw_Orders!C162</x:f>
        <x:v>C032</x:v>
      </x:c>
      <x:c r="D162" t="str">
        <x:f>INDEX(Customers!$B$2:$B$81,MATCH(C162,Customers!$A$2:$A$81,0))</x:f>
        <x:v>Customer 32</x:v>
      </x:c>
      <x:c r="E162" t="str">
        <x:f>INDEX(Customers!$C$2:$C$81,MATCH(C162,Customers!$A$2:$A$81,0))</x:f>
        <x:v>Corporate</x:v>
      </x:c>
      <x:c r="F162" t="str">
        <x:f>INDEX(Customers!$D$2:$D$81,MATCH(C162,Customers!$A$2:$A$81,0))</x:f>
        <x:v>West</x:v>
      </x:c>
      <x:c r="G162" t="str">
        <x:f>Raw_Orders!D162</x:f>
        <x:v>P002</x:v>
      </x:c>
      <x:c r="H162" t="str">
        <x:f>INDEX(Products!$B$2:$B$13,MATCH(G162,Products!$A$2:$A$13,0))</x:f>
        <x:v>Mechanical Keyboard</x:v>
      </x:c>
      <x:c r="I162" t="str">
        <x:f>INDEX(Products!$C$2:$C$13,MATCH(G162,Products!$A$2:$A$13,0))</x:f>
        <x:v>Accessories</x:v>
      </x:c>
      <x:c r="J162" t="str">
        <x:f>Raw_Orders!G162</x:f>
        <x:v>Partner</x:v>
      </x:c>
      <x:c r="K162" t="n">
        <x:f>Raw_Orders!E162</x:f>
        <x:v>5</x:v>
      </x:c>
      <x:c r="L162" s="12" t="n">
        <x:f>Raw_Orders!F162</x:f>
        <x:v>0.05</x:v>
      </x:c>
      <x:c r="M162" s="14" t="n">
        <x:f>INDEX(Products!$D$2:$D$13,MATCH(G162,Products!$A$2:$A$13,0))</x:f>
        <x:v>110</x:v>
      </x:c>
      <x:c r="N162" s="14" t="n">
        <x:f>INDEX(Products!$E$2:$E$13,MATCH(G162,Products!$A$2:$A$13,0))</x:f>
        <x:v>58</x:v>
      </x:c>
      <x:c r="O162" s="14" t="n">
        <x:f>K162*M162</x:f>
        <x:v>550</x:v>
      </x:c>
      <x:c r="P162" s="14" t="n">
        <x:f>O162*(1-L162)</x:f>
        <x:v>522.5</x:v>
      </x:c>
      <x:c r="Q162" s="14" t="n">
        <x:f>K162*N162</x:f>
        <x:v>290</x:v>
      </x:c>
      <x:c r="R162" s="14" t="n">
        <x:f>P162-Q162</x:f>
        <x:v>232.5</x:v>
      </x:c>
      <x:c r="S162" s="16" t="n">
        <x:f>IFERROR(R162/P162,0)</x:f>
        <x:v>0.4449760765550239</x:v>
      </x:c>
    </x:row>
    <x:row r="163" ht="15" hidden="0" customHeight="1">
      <x:c r="A163" t="str">
        <x:f>Raw_Orders!A163</x:f>
        <x:v>O0162</x:v>
      </x:c>
      <x:c r="B163" s="10" t="n">
        <x:f>Raw_Orders!B163</x:f>
        <x:v>45963</x:v>
      </x:c>
      <x:c r="C163" t="str">
        <x:f>Raw_Orders!C163</x:f>
        <x:v>C080</x:v>
      </x:c>
      <x:c r="D163" t="str">
        <x:f>INDEX(Customers!$B$2:$B$81,MATCH(C163,Customers!$A$2:$A$81,0))</x:f>
        <x:v>Customer 80</x:v>
      </x:c>
      <x:c r="E163" t="str">
        <x:f>INDEX(Customers!$C$2:$C$81,MATCH(C163,Customers!$A$2:$A$81,0))</x:f>
        <x:v>Corporate</x:v>
      </x:c>
      <x:c r="F163" t="str">
        <x:f>INDEX(Customers!$D$2:$D$81,MATCH(C163,Customers!$A$2:$A$81,0))</x:f>
        <x:v>West</x:v>
      </x:c>
      <x:c r="G163" t="str">
        <x:f>Raw_Orders!D163</x:f>
        <x:v>P004</x:v>
      </x:c>
      <x:c r="H163" t="str">
        <x:f>INDEX(Products!$B$2:$B$13,MATCH(G163,Products!$A$2:$A$13,0))</x:f>
        <x:v>24in Monitor</x:v>
      </x:c>
      <x:c r="I163" t="str">
        <x:f>INDEX(Products!$C$2:$C$13,MATCH(G163,Products!$A$2:$A$13,0))</x:f>
        <x:v>Displays</x:v>
      </x:c>
      <x:c r="J163" t="str">
        <x:f>Raw_Orders!G163</x:f>
        <x:v>Retail</x:v>
      </x:c>
      <x:c r="K163" t="n">
        <x:f>Raw_Orders!E163</x:f>
        <x:v>5</x:v>
      </x:c>
      <x:c r="L163" s="12" t="n">
        <x:f>Raw_Orders!F163</x:f>
        <x:v>0.05</x:v>
      </x:c>
      <x:c r="M163" s="14" t="n">
        <x:f>INDEX(Products!$D$2:$D$13,MATCH(G163,Products!$A$2:$A$13,0))</x:f>
        <x:v>220</x:v>
      </x:c>
      <x:c r="N163" s="14" t="n">
        <x:f>INDEX(Products!$E$2:$E$13,MATCH(G163,Products!$A$2:$A$13,0))</x:f>
        <x:v>142</x:v>
      </x:c>
      <x:c r="O163" s="14" t="n">
        <x:f>K163*M163</x:f>
        <x:v>1100</x:v>
      </x:c>
      <x:c r="P163" s="14" t="n">
        <x:f>O163*(1-L163)</x:f>
        <x:v>1045</x:v>
      </x:c>
      <x:c r="Q163" s="14" t="n">
        <x:f>K163*N163</x:f>
        <x:v>710</x:v>
      </x:c>
      <x:c r="R163" s="14" t="n">
        <x:f>P163-Q163</x:f>
        <x:v>335</x:v>
      </x:c>
      <x:c r="S163" s="16" t="n">
        <x:f>IFERROR(R163/P163,0)</x:f>
        <x:v>0.32057416267942584</x:v>
      </x:c>
    </x:row>
    <x:row r="164" ht="15" hidden="0" customHeight="1">
      <x:c r="A164" t="str">
        <x:f>Raw_Orders!A164</x:f>
        <x:v>O0163</x:v>
      </x:c>
      <x:c r="B164" s="10" t="n">
        <x:f>Raw_Orders!B164</x:f>
        <x:v>45884</x:v>
      </x:c>
      <x:c r="C164" t="str">
        <x:f>Raw_Orders!C164</x:f>
        <x:v>C039</x:v>
      </x:c>
      <x:c r="D164" t="str">
        <x:f>INDEX(Customers!$B$2:$B$81,MATCH(C164,Customers!$A$2:$A$81,0))</x:f>
        <x:v>Customer 39</x:v>
      </x:c>
      <x:c r="E164" t="str">
        <x:f>INDEX(Customers!$C$2:$C$81,MATCH(C164,Customers!$A$2:$A$81,0))</x:f>
        <x:v>Small Business</x:v>
      </x:c>
      <x:c r="F164" t="str">
        <x:f>INDEX(Customers!$D$2:$D$81,MATCH(C164,Customers!$A$2:$A$81,0))</x:f>
        <x:v>East</x:v>
      </x:c>
      <x:c r="G164" t="str">
        <x:f>Raw_Orders!D164</x:f>
        <x:v>P010</x:v>
      </x:c>
      <x:c r="H164" t="str">
        <x:f>INDEX(Products!$B$2:$B$13,MATCH(G164,Products!$A$2:$A$13,0))</x:f>
        <x:v>Portable SSD</x:v>
      </x:c>
      <x:c r="I164" t="str">
        <x:f>INDEX(Products!$C$2:$C$13,MATCH(G164,Products!$A$2:$A$13,0))</x:f>
        <x:v>Storage</x:v>
      </x:c>
      <x:c r="J164" t="str">
        <x:f>Raw_Orders!G164</x:f>
        <x:v>Partner</x:v>
      </x:c>
      <x:c r="K164" t="n">
        <x:f>Raw_Orders!E164</x:f>
        <x:v>4</x:v>
      </x:c>
      <x:c r="L164" s="12" t="n">
        <x:f>Raw_Orders!F164</x:f>
        <x:v>0</x:v>
      </x:c>
      <x:c r="M164" s="14" t="n">
        <x:f>INDEX(Products!$D$2:$D$13,MATCH(G164,Products!$A$2:$A$13,0))</x:f>
        <x:v>145</x:v>
      </x:c>
      <x:c r="N164" s="14" t="n">
        <x:f>INDEX(Products!$E$2:$E$13,MATCH(G164,Products!$A$2:$A$13,0))</x:f>
        <x:v>86</x:v>
      </x:c>
      <x:c r="O164" s="14" t="n">
        <x:f>K164*M164</x:f>
        <x:v>580</x:v>
      </x:c>
      <x:c r="P164" s="14" t="n">
        <x:f>O164*(1-L164)</x:f>
        <x:v>580</x:v>
      </x:c>
      <x:c r="Q164" s="14" t="n">
        <x:f>K164*N164</x:f>
        <x:v>344</x:v>
      </x:c>
      <x:c r="R164" s="14" t="n">
        <x:f>P164-Q164</x:f>
        <x:v>236</x:v>
      </x:c>
      <x:c r="S164" s="16" t="n">
        <x:f>IFERROR(R164/P164,0)</x:f>
        <x:v>0.4068965517241379</x:v>
      </x:c>
    </x:row>
    <x:row r="165" ht="15" hidden="0" customHeight="1">
      <x:c r="A165" t="str">
        <x:f>Raw_Orders!A165</x:f>
        <x:v>O0164</x:v>
      </x:c>
      <x:c r="B165" s="10" t="n">
        <x:f>Raw_Orders!B165</x:f>
        <x:v>45975</x:v>
      </x:c>
      <x:c r="C165" t="str">
        <x:f>Raw_Orders!C165</x:f>
        <x:v>C008</x:v>
      </x:c>
      <x:c r="D165" t="str">
        <x:f>INDEX(Customers!$B$2:$B$81,MATCH(C165,Customers!$A$2:$A$81,0))</x:f>
        <x:v>Customer 08</x:v>
      </x:c>
      <x:c r="E165" t="str">
        <x:f>INDEX(Customers!$C$2:$C$81,MATCH(C165,Customers!$A$2:$A$81,0))</x:f>
        <x:v>Corporate</x:v>
      </x:c>
      <x:c r="F165" t="str">
        <x:f>INDEX(Customers!$D$2:$D$81,MATCH(C165,Customers!$A$2:$A$81,0))</x:f>
        <x:v>West</x:v>
      </x:c>
      <x:c r="G165" t="str">
        <x:f>Raw_Orders!D165</x:f>
        <x:v>P010</x:v>
      </x:c>
      <x:c r="H165" t="str">
        <x:f>INDEX(Products!$B$2:$B$13,MATCH(G165,Products!$A$2:$A$13,0))</x:f>
        <x:v>Portable SSD</x:v>
      </x:c>
      <x:c r="I165" t="str">
        <x:f>INDEX(Products!$C$2:$C$13,MATCH(G165,Products!$A$2:$A$13,0))</x:f>
        <x:v>Storage</x:v>
      </x:c>
      <x:c r="J165" t="str">
        <x:f>Raw_Orders!G165</x:f>
        <x:v>Online</x:v>
      </x:c>
      <x:c r="K165" t="n">
        <x:f>Raw_Orders!E165</x:f>
        <x:v>6</x:v>
      </x:c>
      <x:c r="L165" s="12" t="n">
        <x:f>Raw_Orders!F165</x:f>
        <x:v>0</x:v>
      </x:c>
      <x:c r="M165" s="14" t="n">
        <x:f>INDEX(Products!$D$2:$D$13,MATCH(G165,Products!$A$2:$A$13,0))</x:f>
        <x:v>145</x:v>
      </x:c>
      <x:c r="N165" s="14" t="n">
        <x:f>INDEX(Products!$E$2:$E$13,MATCH(G165,Products!$A$2:$A$13,0))</x:f>
        <x:v>86</x:v>
      </x:c>
      <x:c r="O165" s="14" t="n">
        <x:f>K165*M165</x:f>
        <x:v>870</x:v>
      </x:c>
      <x:c r="P165" s="14" t="n">
        <x:f>O165*(1-L165)</x:f>
        <x:v>870</x:v>
      </x:c>
      <x:c r="Q165" s="14" t="n">
        <x:f>K165*N165</x:f>
        <x:v>516</x:v>
      </x:c>
      <x:c r="R165" s="14" t="n">
        <x:f>P165-Q165</x:f>
        <x:v>354</x:v>
      </x:c>
      <x:c r="S165" s="16" t="n">
        <x:f>IFERROR(R165/P165,0)</x:f>
        <x:v>0.4068965517241379</x:v>
      </x:c>
    </x:row>
    <x:row r="166" ht="15" hidden="0" customHeight="1">
      <x:c r="A166" t="str">
        <x:f>Raw_Orders!A166</x:f>
        <x:v>O0165</x:v>
      </x:c>
      <x:c r="B166" s="10" t="n">
        <x:f>Raw_Orders!B166</x:f>
        <x:v>45978</x:v>
      </x:c>
      <x:c r="C166" t="str">
        <x:f>Raw_Orders!C166</x:f>
        <x:v>C028</x:v>
      </x:c>
      <x:c r="D166" t="str">
        <x:f>INDEX(Customers!$B$2:$B$81,MATCH(C166,Customers!$A$2:$A$81,0))</x:f>
        <x:v>Customer 28</x:v>
      </x:c>
      <x:c r="E166" t="str">
        <x:f>INDEX(Customers!$C$2:$C$81,MATCH(C166,Customers!$A$2:$A$81,0))</x:f>
        <x:v>Consumer</x:v>
      </x:c>
      <x:c r="F166" t="str">
        <x:f>INDEX(Customers!$D$2:$D$81,MATCH(C166,Customers!$A$2:$A$81,0))</x:f>
        <x:v>West</x:v>
      </x:c>
      <x:c r="G166" t="str">
        <x:f>Raw_Orders!D166</x:f>
        <x:v>P005</x:v>
      </x:c>
      <x:c r="H166" t="str">
        <x:f>INDEX(Products!$B$2:$B$13,MATCH(G166,Products!$A$2:$A$13,0))</x:f>
        <x:v>27in Monitor</x:v>
      </x:c>
      <x:c r="I166" t="str">
        <x:f>INDEX(Products!$C$2:$C$13,MATCH(G166,Products!$A$2:$A$13,0))</x:f>
        <x:v>Displays</x:v>
      </x:c>
      <x:c r="J166" t="str">
        <x:f>Raw_Orders!G166</x:f>
        <x:v>Online</x:v>
      </x:c>
      <x:c r="K166" t="n">
        <x:f>Raw_Orders!E166</x:f>
        <x:v>6</x:v>
      </x:c>
      <x:c r="L166" s="12" t="n">
        <x:f>Raw_Orders!F166</x:f>
        <x:v>0</x:v>
      </x:c>
      <x:c r="M166" s="14" t="n">
        <x:f>INDEX(Products!$D$2:$D$13,MATCH(G166,Products!$A$2:$A$13,0))</x:f>
        <x:v>310</x:v>
      </x:c>
      <x:c r="N166" s="14" t="n">
        <x:f>INDEX(Products!$E$2:$E$13,MATCH(G166,Products!$A$2:$A$13,0))</x:f>
        <x:v>205</x:v>
      </x:c>
      <x:c r="O166" s="14" t="n">
        <x:f>K166*M166</x:f>
        <x:v>1860</x:v>
      </x:c>
      <x:c r="P166" s="14" t="n">
        <x:f>O166*(1-L166)</x:f>
        <x:v>1860</x:v>
      </x:c>
      <x:c r="Q166" s="14" t="n">
        <x:f>K166*N166</x:f>
        <x:v>1230</x:v>
      </x:c>
      <x:c r="R166" s="14" t="n">
        <x:f>P166-Q166</x:f>
        <x:v>630</x:v>
      </x:c>
      <x:c r="S166" s="16" t="n">
        <x:f>IFERROR(R166/P166,0)</x:f>
        <x:v>0.3387096774193548</x:v>
      </x:c>
    </x:row>
    <x:row r="167" ht="15" hidden="0" customHeight="1">
      <x:c r="A167" t="str">
        <x:f>Raw_Orders!A167</x:f>
        <x:v>O0166</x:v>
      </x:c>
      <x:c r="B167" s="10" t="n">
        <x:f>Raw_Orders!B167</x:f>
        <x:v>45780</x:v>
      </x:c>
      <x:c r="C167" t="str">
        <x:f>Raw_Orders!C167</x:f>
        <x:v>C023</x:v>
      </x:c>
      <x:c r="D167" t="str">
        <x:f>INDEX(Customers!$B$2:$B$81,MATCH(C167,Customers!$A$2:$A$81,0))</x:f>
        <x:v>Customer 23</x:v>
      </x:c>
      <x:c r="E167" t="str">
        <x:f>INDEX(Customers!$C$2:$C$81,MATCH(C167,Customers!$A$2:$A$81,0))</x:f>
        <x:v>Corporate</x:v>
      </x:c>
      <x:c r="F167" t="str">
        <x:f>INDEX(Customers!$D$2:$D$81,MATCH(C167,Customers!$A$2:$A$81,0))</x:f>
        <x:v>East</x:v>
      </x:c>
      <x:c r="G167" t="str">
        <x:f>Raw_Orders!D167</x:f>
        <x:v>P009</x:v>
      </x:c>
      <x:c r="H167" t="str">
        <x:f>INDEX(Products!$B$2:$B$13,MATCH(G167,Products!$A$2:$A$13,0))</x:f>
        <x:v>Desk Lamp</x:v>
      </x:c>
      <x:c r="I167" t="str">
        <x:f>INDEX(Products!$C$2:$C$13,MATCH(G167,Products!$A$2:$A$13,0))</x:f>
        <x:v>Office</x:v>
      </x:c>
      <x:c r="J167" t="str">
        <x:f>Raw_Orders!G167</x:f>
        <x:v>Online</x:v>
      </x:c>
      <x:c r="K167" t="n">
        <x:f>Raw_Orders!E167</x:f>
        <x:v>1</x:v>
      </x:c>
      <x:c r="L167" s="12" t="n">
        <x:f>Raw_Orders!F167</x:f>
        <x:v>0</x:v>
      </x:c>
      <x:c r="M167" s="14" t="n">
        <x:f>INDEX(Products!$D$2:$D$13,MATCH(G167,Products!$A$2:$A$13,0))</x:f>
        <x:v>70</x:v>
      </x:c>
      <x:c r="N167" s="14" t="n">
        <x:f>INDEX(Products!$E$2:$E$13,MATCH(G167,Products!$A$2:$A$13,0))</x:f>
        <x:v>29</x:v>
      </x:c>
      <x:c r="O167" s="14" t="n">
        <x:f>K167*M167</x:f>
        <x:v>70</x:v>
      </x:c>
      <x:c r="P167" s="14" t="n">
        <x:f>O167*(1-L167)</x:f>
        <x:v>70</x:v>
      </x:c>
      <x:c r="Q167" s="14" t="n">
        <x:f>K167*N167</x:f>
        <x:v>29</x:v>
      </x:c>
      <x:c r="R167" s="14" t="n">
        <x:f>P167-Q167</x:f>
        <x:v>41</x:v>
      </x:c>
      <x:c r="S167" s="16" t="n">
        <x:f>IFERROR(R167/P167,0)</x:f>
        <x:v>0.5857142857142857</x:v>
      </x:c>
    </x:row>
    <x:row r="168" ht="15" hidden="0" customHeight="1">
      <x:c r="A168" t="str">
        <x:f>Raw_Orders!A168</x:f>
        <x:v>O0167</x:v>
      </x:c>
      <x:c r="B168" s="10" t="n">
        <x:f>Raw_Orders!B168</x:f>
        <x:v>45867</x:v>
      </x:c>
      <x:c r="C168" t="str">
        <x:f>Raw_Orders!C168</x:f>
        <x:v>C058</x:v>
      </x:c>
      <x:c r="D168" t="str">
        <x:f>INDEX(Customers!$B$2:$B$81,MATCH(C168,Customers!$A$2:$A$81,0))</x:f>
        <x:v>Customer 58</x:v>
      </x:c>
      <x:c r="E168" t="str">
        <x:f>INDEX(Customers!$C$2:$C$81,MATCH(C168,Customers!$A$2:$A$81,0))</x:f>
        <x:v>Consumer</x:v>
      </x:c>
      <x:c r="F168" t="str">
        <x:f>INDEX(Customers!$D$2:$D$81,MATCH(C168,Customers!$A$2:$A$81,0))</x:f>
        <x:v>South</x:v>
      </x:c>
      <x:c r="G168" t="str">
        <x:f>Raw_Orders!D168</x:f>
        <x:v>P012</x:v>
      </x:c>
      <x:c r="H168" t="str">
        <x:f>INDEX(Products!$B$2:$B$13,MATCH(G168,Products!$A$2:$A$13,0))</x:f>
        <x:v>Docking Station</x:v>
      </x:c>
      <x:c r="I168" t="str">
        <x:f>INDEX(Products!$C$2:$C$13,MATCH(G168,Products!$A$2:$A$13,0))</x:f>
        <x:v>Accessories</x:v>
      </x:c>
      <x:c r="J168" t="str">
        <x:f>Raw_Orders!G168</x:f>
        <x:v>Retail</x:v>
      </x:c>
      <x:c r="K168" t="n">
        <x:f>Raw_Orders!E168</x:f>
        <x:v>5</x:v>
      </x:c>
      <x:c r="L168" s="12" t="n">
        <x:f>Raw_Orders!F168</x:f>
        <x:v>0.05</x:v>
      </x:c>
      <x:c r="M168" s="14" t="n">
        <x:f>INDEX(Products!$D$2:$D$13,MATCH(G168,Products!$A$2:$A$13,0))</x:f>
        <x:v>180</x:v>
      </x:c>
      <x:c r="N168" s="14" t="n">
        <x:f>INDEX(Products!$E$2:$E$13,MATCH(G168,Products!$A$2:$A$13,0))</x:f>
        <x:v>104</x:v>
      </x:c>
      <x:c r="O168" s="14" t="n">
        <x:f>K168*M168</x:f>
        <x:v>900</x:v>
      </x:c>
      <x:c r="P168" s="14" t="n">
        <x:f>O168*(1-L168)</x:f>
        <x:v>855</x:v>
      </x:c>
      <x:c r="Q168" s="14" t="n">
        <x:f>K168*N168</x:f>
        <x:v>520</x:v>
      </x:c>
      <x:c r="R168" s="14" t="n">
        <x:f>P168-Q168</x:f>
        <x:v>335</x:v>
      </x:c>
      <x:c r="S168" s="16" t="n">
        <x:f>IFERROR(R168/P168,0)</x:f>
        <x:v>0.391812865497076</x:v>
      </x:c>
    </x:row>
    <x:row r="169" ht="15" hidden="0" customHeight="1">
      <x:c r="A169" t="str">
        <x:f>Raw_Orders!A169</x:f>
        <x:v>O0168</x:v>
      </x:c>
      <x:c r="B169" s="10" t="n">
        <x:f>Raw_Orders!B169</x:f>
        <x:v>45674</x:v>
      </x:c>
      <x:c r="C169" t="str">
        <x:f>Raw_Orders!C169</x:f>
        <x:v>C030</x:v>
      </x:c>
      <x:c r="D169" t="str">
        <x:f>INDEX(Customers!$B$2:$B$81,MATCH(C169,Customers!$A$2:$A$81,0))</x:f>
        <x:v>Customer 30</x:v>
      </x:c>
      <x:c r="E169" t="str">
        <x:f>INDEX(Customers!$C$2:$C$81,MATCH(C169,Customers!$A$2:$A$81,0))</x:f>
        <x:v>Small Business</x:v>
      </x:c>
      <x:c r="F169" t="str">
        <x:f>INDEX(Customers!$D$2:$D$81,MATCH(C169,Customers!$A$2:$A$81,0))</x:f>
        <x:v>South</x:v>
      </x:c>
      <x:c r="G169" t="str">
        <x:f>Raw_Orders!D169</x:f>
        <x:v>P005</x:v>
      </x:c>
      <x:c r="H169" t="str">
        <x:f>INDEX(Products!$B$2:$B$13,MATCH(G169,Products!$A$2:$A$13,0))</x:f>
        <x:v>27in Monitor</x:v>
      </x:c>
      <x:c r="I169" t="str">
        <x:f>INDEX(Products!$C$2:$C$13,MATCH(G169,Products!$A$2:$A$13,0))</x:f>
        <x:v>Displays</x:v>
      </x:c>
      <x:c r="J169" t="str">
        <x:f>Raw_Orders!G169</x:f>
        <x:v>Partner</x:v>
      </x:c>
      <x:c r="K169" t="n">
        <x:f>Raw_Orders!E169</x:f>
        <x:v>6</x:v>
      </x:c>
      <x:c r="L169" s="12" t="n">
        <x:f>Raw_Orders!F169</x:f>
        <x:v>0</x:v>
      </x:c>
      <x:c r="M169" s="14" t="n">
        <x:f>INDEX(Products!$D$2:$D$13,MATCH(G169,Products!$A$2:$A$13,0))</x:f>
        <x:v>310</x:v>
      </x:c>
      <x:c r="N169" s="14" t="n">
        <x:f>INDEX(Products!$E$2:$E$13,MATCH(G169,Products!$A$2:$A$13,0))</x:f>
        <x:v>205</x:v>
      </x:c>
      <x:c r="O169" s="14" t="n">
        <x:f>K169*M169</x:f>
        <x:v>1860</x:v>
      </x:c>
      <x:c r="P169" s="14" t="n">
        <x:f>O169*(1-L169)</x:f>
        <x:v>1860</x:v>
      </x:c>
      <x:c r="Q169" s="14" t="n">
        <x:f>K169*N169</x:f>
        <x:v>1230</x:v>
      </x:c>
      <x:c r="R169" s="14" t="n">
        <x:f>P169-Q169</x:f>
        <x:v>630</x:v>
      </x:c>
      <x:c r="S169" s="16" t="n">
        <x:f>IFERROR(R169/P169,0)</x:f>
        <x:v>0.3387096774193548</x:v>
      </x:c>
    </x:row>
    <x:row r="170" ht="15" hidden="0" customHeight="1">
      <x:c r="A170" t="str">
        <x:f>Raw_Orders!A170</x:f>
        <x:v>O0169</x:v>
      </x:c>
      <x:c r="B170" s="10" t="n">
        <x:f>Raw_Orders!B170</x:f>
        <x:v>45890</x:v>
      </x:c>
      <x:c r="C170" t="str">
        <x:f>Raw_Orders!C170</x:f>
        <x:v>C010</x:v>
      </x:c>
      <x:c r="D170" t="str">
        <x:f>INDEX(Customers!$B$2:$B$81,MATCH(C170,Customers!$A$2:$A$81,0))</x:f>
        <x:v>Customer 10</x:v>
      </x:c>
      <x:c r="E170" t="str">
        <x:f>INDEX(Customers!$C$2:$C$81,MATCH(C170,Customers!$A$2:$A$81,0))</x:f>
        <x:v>Consumer</x:v>
      </x:c>
      <x:c r="F170" t="str">
        <x:f>INDEX(Customers!$D$2:$D$81,MATCH(C170,Customers!$A$2:$A$81,0))</x:f>
        <x:v>South</x:v>
      </x:c>
      <x:c r="G170" t="str">
        <x:f>Raw_Orders!D170</x:f>
        <x:v>P011</x:v>
      </x:c>
      <x:c r="H170" t="str">
        <x:f>INDEX(Products!$B$2:$B$13,MATCH(G170,Products!$A$2:$A$13,0))</x:f>
        <x:v>External HDD</x:v>
      </x:c>
      <x:c r="I170" t="str">
        <x:f>INDEX(Products!$C$2:$C$13,MATCH(G170,Products!$A$2:$A$13,0))</x:f>
        <x:v>Storage</x:v>
      </x:c>
      <x:c r="J170" t="str">
        <x:f>Raw_Orders!G170</x:f>
        <x:v>Partner</x:v>
      </x:c>
      <x:c r="K170" t="n">
        <x:f>Raw_Orders!E170</x:f>
        <x:v>2</x:v>
      </x:c>
      <x:c r="L170" s="12" t="n">
        <x:f>Raw_Orders!F170</x:f>
        <x:v>0</x:v>
      </x:c>
      <x:c r="M170" s="14" t="n">
        <x:f>INDEX(Products!$D$2:$D$13,MATCH(G170,Products!$A$2:$A$13,0))</x:f>
        <x:v>120</x:v>
      </x:c>
      <x:c r="N170" s="14" t="n">
        <x:f>INDEX(Products!$E$2:$E$13,MATCH(G170,Products!$A$2:$A$13,0))</x:f>
        <x:v>72</x:v>
      </x:c>
      <x:c r="O170" s="14" t="n">
        <x:f>K170*M170</x:f>
        <x:v>240</x:v>
      </x:c>
      <x:c r="P170" s="14" t="n">
        <x:f>O170*(1-L170)</x:f>
        <x:v>240</x:v>
      </x:c>
      <x:c r="Q170" s="14" t="n">
        <x:f>K170*N170</x:f>
        <x:v>144</x:v>
      </x:c>
      <x:c r="R170" s="14" t="n">
        <x:f>P170-Q170</x:f>
        <x:v>96</x:v>
      </x:c>
      <x:c r="S170" s="16" t="n">
        <x:f>IFERROR(R170/P170,0)</x:f>
        <x:v>0.4</x:v>
      </x:c>
    </x:row>
    <x:row r="171" ht="15" hidden="0" customHeight="1">
      <x:c r="A171" t="str">
        <x:f>Raw_Orders!A171</x:f>
        <x:v>O0170</x:v>
      </x:c>
      <x:c r="B171" s="10" t="n">
        <x:f>Raw_Orders!B171</x:f>
        <x:v>45959</x:v>
      </x:c>
      <x:c r="C171" t="str">
        <x:f>Raw_Orders!C171</x:f>
        <x:v>C026</x:v>
      </x:c>
      <x:c r="D171" t="str">
        <x:f>INDEX(Customers!$B$2:$B$81,MATCH(C171,Customers!$A$2:$A$81,0))</x:f>
        <x:v>Customer 26</x:v>
      </x:c>
      <x:c r="E171" t="str">
        <x:f>INDEX(Customers!$C$2:$C$81,MATCH(C171,Customers!$A$2:$A$81,0))</x:f>
        <x:v>Corporate</x:v>
      </x:c>
      <x:c r="F171" t="str">
        <x:f>INDEX(Customers!$D$2:$D$81,MATCH(C171,Customers!$A$2:$A$81,0))</x:f>
        <x:v>South</x:v>
      </x:c>
      <x:c r="G171" t="str">
        <x:f>Raw_Orders!D171</x:f>
        <x:v>P007</x:v>
      </x:c>
      <x:c r="H171" t="str">
        <x:f>INDEX(Products!$B$2:$B$13,MATCH(G171,Products!$A$2:$A$13,0))</x:f>
        <x:v>Ergonomic Chair</x:v>
      </x:c>
      <x:c r="I171" t="str">
        <x:f>INDEX(Products!$C$2:$C$13,MATCH(G171,Products!$A$2:$A$13,0))</x:f>
        <x:v>Office</x:v>
      </x:c>
      <x:c r="J171" t="str">
        <x:f>Raw_Orders!G171</x:f>
        <x:v>Online</x:v>
      </x:c>
      <x:c r="K171" t="n">
        <x:f>Raw_Orders!E171</x:f>
        <x:v>1</x:v>
      </x:c>
      <x:c r="L171" s="12" t="n">
        <x:f>Raw_Orders!F171</x:f>
        <x:v>0.1</x:v>
      </x:c>
      <x:c r="M171" s="14" t="n">
        <x:f>INDEX(Products!$D$2:$D$13,MATCH(G171,Products!$A$2:$A$13,0))</x:f>
        <x:v>390</x:v>
      </x:c>
      <x:c r="N171" s="14" t="n">
        <x:f>INDEX(Products!$E$2:$E$13,MATCH(G171,Products!$A$2:$A$13,0))</x:f>
        <x:v>245</x:v>
      </x:c>
      <x:c r="O171" s="14" t="n">
        <x:f>K171*M171</x:f>
        <x:v>390</x:v>
      </x:c>
      <x:c r="P171" s="14" t="n">
        <x:f>O171*(1-L171)</x:f>
        <x:v>351</x:v>
      </x:c>
      <x:c r="Q171" s="14" t="n">
        <x:f>K171*N171</x:f>
        <x:v>245</x:v>
      </x:c>
      <x:c r="R171" s="14" t="n">
        <x:f>P171-Q171</x:f>
        <x:v>106</x:v>
      </x:c>
      <x:c r="S171" s="16" t="n">
        <x:f>IFERROR(R171/P171,0)</x:f>
        <x:v>0.301994301994302</x:v>
      </x:c>
    </x:row>
    <x:row r="172" ht="15" hidden="0" customHeight="1">
      <x:c r="A172" t="str">
        <x:f>Raw_Orders!A172</x:f>
        <x:v>O0171</x:v>
      </x:c>
      <x:c r="B172" s="10" t="n">
        <x:f>Raw_Orders!B172</x:f>
        <x:v>45989</x:v>
      </x:c>
      <x:c r="C172" t="str">
        <x:f>Raw_Orders!C172</x:f>
        <x:v>C020</x:v>
      </x:c>
      <x:c r="D172" t="str">
        <x:f>INDEX(Customers!$B$2:$B$81,MATCH(C172,Customers!$A$2:$A$81,0))</x:f>
        <x:v>Customer 20</x:v>
      </x:c>
      <x:c r="E172" t="str">
        <x:f>INDEX(Customers!$C$2:$C$81,MATCH(C172,Customers!$A$2:$A$81,0))</x:f>
        <x:v>Corporate</x:v>
      </x:c>
      <x:c r="F172" t="str">
        <x:f>INDEX(Customers!$D$2:$D$81,MATCH(C172,Customers!$A$2:$A$81,0))</x:f>
        <x:v>West</x:v>
      </x:c>
      <x:c r="G172" t="str">
        <x:f>Raw_Orders!D172</x:f>
        <x:v>P005</x:v>
      </x:c>
      <x:c r="H172" t="str">
        <x:f>INDEX(Products!$B$2:$B$13,MATCH(G172,Products!$A$2:$A$13,0))</x:f>
        <x:v>27in Monitor</x:v>
      </x:c>
      <x:c r="I172" t="str">
        <x:f>INDEX(Products!$C$2:$C$13,MATCH(G172,Products!$A$2:$A$13,0))</x:f>
        <x:v>Displays</x:v>
      </x:c>
      <x:c r="J172" t="str">
        <x:f>Raw_Orders!G172</x:f>
        <x:v>Online</x:v>
      </x:c>
      <x:c r="K172" t="n">
        <x:f>Raw_Orders!E172</x:f>
        <x:v>2</x:v>
      </x:c>
      <x:c r="L172" s="12" t="n">
        <x:f>Raw_Orders!F172</x:f>
        <x:v>0</x:v>
      </x:c>
      <x:c r="M172" s="14" t="n">
        <x:f>INDEX(Products!$D$2:$D$13,MATCH(G172,Products!$A$2:$A$13,0))</x:f>
        <x:v>310</x:v>
      </x:c>
      <x:c r="N172" s="14" t="n">
        <x:f>INDEX(Products!$E$2:$E$13,MATCH(G172,Products!$A$2:$A$13,0))</x:f>
        <x:v>205</x:v>
      </x:c>
      <x:c r="O172" s="14" t="n">
        <x:f>K172*M172</x:f>
        <x:v>620</x:v>
      </x:c>
      <x:c r="P172" s="14" t="n">
        <x:f>O172*(1-L172)</x:f>
        <x:v>620</x:v>
      </x:c>
      <x:c r="Q172" s="14" t="n">
        <x:f>K172*N172</x:f>
        <x:v>410</x:v>
      </x:c>
      <x:c r="R172" s="14" t="n">
        <x:f>P172-Q172</x:f>
        <x:v>210</x:v>
      </x:c>
      <x:c r="S172" s="16" t="n">
        <x:f>IFERROR(R172/P172,0)</x:f>
        <x:v>0.3387096774193548</x:v>
      </x:c>
    </x:row>
    <x:row r="173" ht="15" hidden="0" customHeight="1">
      <x:c r="A173" t="str">
        <x:f>Raw_Orders!A173</x:f>
        <x:v>O0172</x:v>
      </x:c>
      <x:c r="B173" s="10" t="n">
        <x:f>Raw_Orders!B173</x:f>
        <x:v>45742</x:v>
      </x:c>
      <x:c r="C173" t="str">
        <x:f>Raw_Orders!C173</x:f>
        <x:v>C040</x:v>
      </x:c>
      <x:c r="D173" t="str">
        <x:f>INDEX(Customers!$B$2:$B$81,MATCH(C173,Customers!$A$2:$A$81,0))</x:f>
        <x:v>Customer 40</x:v>
      </x:c>
      <x:c r="E173" t="str">
        <x:f>INDEX(Customers!$C$2:$C$81,MATCH(C173,Customers!$A$2:$A$81,0))</x:f>
        <x:v>Consumer</x:v>
      </x:c>
      <x:c r="F173" t="str">
        <x:f>INDEX(Customers!$D$2:$D$81,MATCH(C173,Customers!$A$2:$A$81,0))</x:f>
        <x:v>West</x:v>
      </x:c>
      <x:c r="G173" t="str">
        <x:f>Raw_Orders!D173</x:f>
        <x:v>P010</x:v>
      </x:c>
      <x:c r="H173" t="str">
        <x:f>INDEX(Products!$B$2:$B$13,MATCH(G173,Products!$A$2:$A$13,0))</x:f>
        <x:v>Portable SSD</x:v>
      </x:c>
      <x:c r="I173" t="str">
        <x:f>INDEX(Products!$C$2:$C$13,MATCH(G173,Products!$A$2:$A$13,0))</x:f>
        <x:v>Storage</x:v>
      </x:c>
      <x:c r="J173" t="str">
        <x:f>Raw_Orders!G173</x:f>
        <x:v>Retail</x:v>
      </x:c>
      <x:c r="K173" t="n">
        <x:f>Raw_Orders!E173</x:f>
        <x:v>6</x:v>
      </x:c>
      <x:c r="L173" s="12" t="n">
        <x:f>Raw_Orders!F173</x:f>
        <x:v>0.1</x:v>
      </x:c>
      <x:c r="M173" s="14" t="n">
        <x:f>INDEX(Products!$D$2:$D$13,MATCH(G173,Products!$A$2:$A$13,0))</x:f>
        <x:v>145</x:v>
      </x:c>
      <x:c r="N173" s="14" t="n">
        <x:f>INDEX(Products!$E$2:$E$13,MATCH(G173,Products!$A$2:$A$13,0))</x:f>
        <x:v>86</x:v>
      </x:c>
      <x:c r="O173" s="14" t="n">
        <x:f>K173*M173</x:f>
        <x:v>870</x:v>
      </x:c>
      <x:c r="P173" s="14" t="n">
        <x:f>O173*(1-L173)</x:f>
        <x:v>783</x:v>
      </x:c>
      <x:c r="Q173" s="14" t="n">
        <x:f>K173*N173</x:f>
        <x:v>516</x:v>
      </x:c>
      <x:c r="R173" s="14" t="n">
        <x:f>P173-Q173</x:f>
        <x:v>267</x:v>
      </x:c>
      <x:c r="S173" s="16" t="n">
        <x:f>IFERROR(R173/P173,0)</x:f>
        <x:v>0.34099616858237547</x:v>
      </x:c>
    </x:row>
    <x:row r="174" ht="15" hidden="0" customHeight="1">
      <x:c r="A174" t="str">
        <x:f>Raw_Orders!A174</x:f>
        <x:v>O0173</x:v>
      </x:c>
      <x:c r="B174" s="10" t="n">
        <x:f>Raw_Orders!B174</x:f>
        <x:v>45882</x:v>
      </x:c>
      <x:c r="C174" t="str">
        <x:f>Raw_Orders!C174</x:f>
        <x:v>C016</x:v>
      </x:c>
      <x:c r="D174" t="str">
        <x:f>INDEX(Customers!$B$2:$B$81,MATCH(C174,Customers!$A$2:$A$81,0))</x:f>
        <x:v>Customer 16</x:v>
      </x:c>
      <x:c r="E174" t="str">
        <x:f>INDEX(Customers!$C$2:$C$81,MATCH(C174,Customers!$A$2:$A$81,0))</x:f>
        <x:v>Consumer</x:v>
      </x:c>
      <x:c r="F174" t="str">
        <x:f>INDEX(Customers!$D$2:$D$81,MATCH(C174,Customers!$A$2:$A$81,0))</x:f>
        <x:v>West</x:v>
      </x:c>
      <x:c r="G174" t="str">
        <x:f>Raw_Orders!D174</x:f>
        <x:v>P008</x:v>
      </x:c>
      <x:c r="H174" t="str">
        <x:f>INDEX(Products!$B$2:$B$13,MATCH(G174,Products!$A$2:$A$13,0))</x:f>
        <x:v>Webcam</x:v>
      </x:c>
      <x:c r="I174" t="str">
        <x:f>INDEX(Products!$C$2:$C$13,MATCH(G174,Products!$A$2:$A$13,0))</x:f>
        <x:v>Accessories</x:v>
      </x:c>
      <x:c r="J174" t="str">
        <x:f>Raw_Orders!G174</x:f>
        <x:v>Partner</x:v>
      </x:c>
      <x:c r="K174" t="n">
        <x:f>Raw_Orders!E174</x:f>
        <x:v>6</x:v>
      </x:c>
      <x:c r="L174" s="12" t="n">
        <x:f>Raw_Orders!F174</x:f>
        <x:v>0</x:v>
      </x:c>
      <x:c r="M174" s="14" t="n">
        <x:f>INDEX(Products!$D$2:$D$13,MATCH(G174,Products!$A$2:$A$13,0))</x:f>
        <x:v>95</x:v>
      </x:c>
      <x:c r="N174" s="14" t="n">
        <x:f>INDEX(Products!$E$2:$E$13,MATCH(G174,Products!$A$2:$A$13,0))</x:f>
        <x:v>49</x:v>
      </x:c>
      <x:c r="O174" s="14" t="n">
        <x:f>K174*M174</x:f>
        <x:v>570</x:v>
      </x:c>
      <x:c r="P174" s="14" t="n">
        <x:f>O174*(1-L174)</x:f>
        <x:v>570</x:v>
      </x:c>
      <x:c r="Q174" s="14" t="n">
        <x:f>K174*N174</x:f>
        <x:v>294</x:v>
      </x:c>
      <x:c r="R174" s="14" t="n">
        <x:f>P174-Q174</x:f>
        <x:v>276</x:v>
      </x:c>
      <x:c r="S174" s="16" t="n">
        <x:f>IFERROR(R174/P174,0)</x:f>
        <x:v>0.4842105263157895</x:v>
      </x:c>
    </x:row>
    <x:row r="175" ht="15" hidden="0" customHeight="1">
      <x:c r="A175" t="str">
        <x:f>Raw_Orders!A175</x:f>
        <x:v>O0174</x:v>
      </x:c>
      <x:c r="B175" s="10" t="n">
        <x:f>Raw_Orders!B175</x:f>
        <x:v>45864</x:v>
      </x:c>
      <x:c r="C175" t="str">
        <x:f>Raw_Orders!C175</x:f>
        <x:v>C035</x:v>
      </x:c>
      <x:c r="D175" t="str">
        <x:f>INDEX(Customers!$B$2:$B$81,MATCH(C175,Customers!$A$2:$A$81,0))</x:f>
        <x:v>Customer 35</x:v>
      </x:c>
      <x:c r="E175" t="str">
        <x:f>INDEX(Customers!$C$2:$C$81,MATCH(C175,Customers!$A$2:$A$81,0))</x:f>
        <x:v>Corporate</x:v>
      </x:c>
      <x:c r="F175" t="str">
        <x:f>INDEX(Customers!$D$2:$D$81,MATCH(C175,Customers!$A$2:$A$81,0))</x:f>
        <x:v>East</x:v>
      </x:c>
      <x:c r="G175" t="str">
        <x:f>Raw_Orders!D175</x:f>
        <x:v>P009</x:v>
      </x:c>
      <x:c r="H175" t="str">
        <x:f>INDEX(Products!$B$2:$B$13,MATCH(G175,Products!$A$2:$A$13,0))</x:f>
        <x:v>Desk Lamp</x:v>
      </x:c>
      <x:c r="I175" t="str">
        <x:f>INDEX(Products!$C$2:$C$13,MATCH(G175,Products!$A$2:$A$13,0))</x:f>
        <x:v>Office</x:v>
      </x:c>
      <x:c r="J175" t="str">
        <x:f>Raw_Orders!G175</x:f>
        <x:v>Retail</x:v>
      </x:c>
      <x:c r="K175" t="n">
        <x:f>Raw_Orders!E175</x:f>
        <x:v>5</x:v>
      </x:c>
      <x:c r="L175" s="12" t="n">
        <x:f>Raw_Orders!F175</x:f>
        <x:v>0.05</x:v>
      </x:c>
      <x:c r="M175" s="14" t="n">
        <x:f>INDEX(Products!$D$2:$D$13,MATCH(G175,Products!$A$2:$A$13,0))</x:f>
        <x:v>70</x:v>
      </x:c>
      <x:c r="N175" s="14" t="n">
        <x:f>INDEX(Products!$E$2:$E$13,MATCH(G175,Products!$A$2:$A$13,0))</x:f>
        <x:v>29</x:v>
      </x:c>
      <x:c r="O175" s="14" t="n">
        <x:f>K175*M175</x:f>
        <x:v>350</x:v>
      </x:c>
      <x:c r="P175" s="14" t="n">
        <x:f>O175*(1-L175)</x:f>
        <x:v>332.5</x:v>
      </x:c>
      <x:c r="Q175" s="14" t="n">
        <x:f>K175*N175</x:f>
        <x:v>145</x:v>
      </x:c>
      <x:c r="R175" s="14" t="n">
        <x:f>P175-Q175</x:f>
        <x:v>187.5</x:v>
      </x:c>
      <x:c r="S175" s="16" t="n">
        <x:f>IFERROR(R175/P175,0)</x:f>
        <x:v>0.5639097744360902</x:v>
      </x:c>
    </x:row>
    <x:row r="176" ht="15" hidden="0" customHeight="1">
      <x:c r="A176" t="str">
        <x:f>Raw_Orders!A176</x:f>
        <x:v>O0175</x:v>
      </x:c>
      <x:c r="B176" s="10" t="n">
        <x:f>Raw_Orders!B176</x:f>
        <x:v>45699</x:v>
      </x:c>
      <x:c r="C176" t="str">
        <x:f>Raw_Orders!C176</x:f>
        <x:v>C077</x:v>
      </x:c>
      <x:c r="D176" t="str">
        <x:f>INDEX(Customers!$B$2:$B$81,MATCH(C176,Customers!$A$2:$A$81,0))</x:f>
        <x:v>Customer 77</x:v>
      </x:c>
      <x:c r="E176" t="str">
        <x:f>INDEX(Customers!$C$2:$C$81,MATCH(C176,Customers!$A$2:$A$81,0))</x:f>
        <x:v>Corporate</x:v>
      </x:c>
      <x:c r="F176" t="str">
        <x:f>INDEX(Customers!$D$2:$D$81,MATCH(C176,Customers!$A$2:$A$81,0))</x:f>
        <x:v>North</x:v>
      </x:c>
      <x:c r="G176" t="str">
        <x:f>Raw_Orders!D176</x:f>
        <x:v>P001</x:v>
      </x:c>
      <x:c r="H176" t="str">
        <x:f>INDEX(Products!$B$2:$B$13,MATCH(G176,Products!$A$2:$A$13,0))</x:f>
        <x:v>Wireless Headset</x:v>
      </x:c>
      <x:c r="I176" t="str">
        <x:f>INDEX(Products!$C$2:$C$13,MATCH(G176,Products!$A$2:$A$13,0))</x:f>
        <x:v>Accessories</x:v>
      </x:c>
      <x:c r="J176" t="str">
        <x:f>Raw_Orders!G176</x:f>
        <x:v>Retail</x:v>
      </x:c>
      <x:c r="K176" t="n">
        <x:f>Raw_Orders!E176</x:f>
        <x:v>4</x:v>
      </x:c>
      <x:c r="L176" s="12" t="n">
        <x:f>Raw_Orders!F176</x:f>
        <x:v>0.15</x:v>
      </x:c>
      <x:c r="M176" s="14" t="n">
        <x:f>INDEX(Products!$D$2:$D$13,MATCH(G176,Products!$A$2:$A$13,0))</x:f>
        <x:v>85</x:v>
      </x:c>
      <x:c r="N176" s="14" t="n">
        <x:f>INDEX(Products!$E$2:$E$13,MATCH(G176,Products!$A$2:$A$13,0))</x:f>
        <x:v>42</x:v>
      </x:c>
      <x:c r="O176" s="14" t="n">
        <x:f>K176*M176</x:f>
        <x:v>340</x:v>
      </x:c>
      <x:c r="P176" s="14" t="n">
        <x:f>O176*(1-L176)</x:f>
        <x:v>289</x:v>
      </x:c>
      <x:c r="Q176" s="14" t="n">
        <x:f>K176*N176</x:f>
        <x:v>168</x:v>
      </x:c>
      <x:c r="R176" s="14" t="n">
        <x:f>P176-Q176</x:f>
        <x:v>121</x:v>
      </x:c>
      <x:c r="S176" s="16" t="n">
        <x:f>IFERROR(R176/P176,0)</x:f>
        <x:v>0.4186851211072664</x:v>
      </x:c>
    </x:row>
    <x:row r="177" ht="15" hidden="0" customHeight="1">
      <x:c r="A177" t="str">
        <x:f>Raw_Orders!A177</x:f>
        <x:v>O0176</x:v>
      </x:c>
      <x:c r="B177" s="10" t="n">
        <x:f>Raw_Orders!B177</x:f>
        <x:v>45967</x:v>
      </x:c>
      <x:c r="C177" t="str">
        <x:f>Raw_Orders!C177</x:f>
        <x:v>C033</x:v>
      </x:c>
      <x:c r="D177" t="str">
        <x:f>INDEX(Customers!$B$2:$B$81,MATCH(C177,Customers!$A$2:$A$81,0))</x:f>
        <x:v>Customer 33</x:v>
      </x:c>
      <x:c r="E177" t="str">
        <x:f>INDEX(Customers!$C$2:$C$81,MATCH(C177,Customers!$A$2:$A$81,0))</x:f>
        <x:v>Small Business</x:v>
      </x:c>
      <x:c r="F177" t="str">
        <x:f>INDEX(Customers!$D$2:$D$81,MATCH(C177,Customers!$A$2:$A$81,0))</x:f>
        <x:v>North</x:v>
      </x:c>
      <x:c r="G177" t="str">
        <x:f>Raw_Orders!D177</x:f>
        <x:v>P001</x:v>
      </x:c>
      <x:c r="H177" t="str">
        <x:f>INDEX(Products!$B$2:$B$13,MATCH(G177,Products!$A$2:$A$13,0))</x:f>
        <x:v>Wireless Headset</x:v>
      </x:c>
      <x:c r="I177" t="str">
        <x:f>INDEX(Products!$C$2:$C$13,MATCH(G177,Products!$A$2:$A$13,0))</x:f>
        <x:v>Accessories</x:v>
      </x:c>
      <x:c r="J177" t="str">
        <x:f>Raw_Orders!G177</x:f>
        <x:v>Partner</x:v>
      </x:c>
      <x:c r="K177" t="n">
        <x:f>Raw_Orders!E177</x:f>
        <x:v>1</x:v>
      </x:c>
      <x:c r="L177" s="12" t="n">
        <x:f>Raw_Orders!F177</x:f>
        <x:v>0</x:v>
      </x:c>
      <x:c r="M177" s="14" t="n">
        <x:f>INDEX(Products!$D$2:$D$13,MATCH(G177,Products!$A$2:$A$13,0))</x:f>
        <x:v>85</x:v>
      </x:c>
      <x:c r="N177" s="14" t="n">
        <x:f>INDEX(Products!$E$2:$E$13,MATCH(G177,Products!$A$2:$A$13,0))</x:f>
        <x:v>42</x:v>
      </x:c>
      <x:c r="O177" s="14" t="n">
        <x:f>K177*M177</x:f>
        <x:v>85</x:v>
      </x:c>
      <x:c r="P177" s="14" t="n">
        <x:f>O177*(1-L177)</x:f>
        <x:v>85</x:v>
      </x:c>
      <x:c r="Q177" s="14" t="n">
        <x:f>K177*N177</x:f>
        <x:v>42</x:v>
      </x:c>
      <x:c r="R177" s="14" t="n">
        <x:f>P177-Q177</x:f>
        <x:v>43</x:v>
      </x:c>
      <x:c r="S177" s="16" t="n">
        <x:f>IFERROR(R177/P177,0)</x:f>
        <x:v>0.5058823529411764</x:v>
      </x:c>
    </x:row>
    <x:row r="178" ht="15" hidden="0" customHeight="1">
      <x:c r="A178" t="str">
        <x:f>Raw_Orders!A178</x:f>
        <x:v>O0177</x:v>
      </x:c>
      <x:c r="B178" s="10" t="n">
        <x:f>Raw_Orders!B178</x:f>
        <x:v>45952</x:v>
      </x:c>
      <x:c r="C178" t="str">
        <x:f>Raw_Orders!C178</x:f>
        <x:v>C076</x:v>
      </x:c>
      <x:c r="D178" t="str">
        <x:f>INDEX(Customers!$B$2:$B$81,MATCH(C178,Customers!$A$2:$A$81,0))</x:f>
        <x:v>Customer 76</x:v>
      </x:c>
      <x:c r="E178" t="str">
        <x:f>INDEX(Customers!$C$2:$C$81,MATCH(C178,Customers!$A$2:$A$81,0))</x:f>
        <x:v>Consumer</x:v>
      </x:c>
      <x:c r="F178" t="str">
        <x:f>INDEX(Customers!$D$2:$D$81,MATCH(C178,Customers!$A$2:$A$81,0))</x:f>
        <x:v>West</x:v>
      </x:c>
      <x:c r="G178" t="str">
        <x:f>Raw_Orders!D178</x:f>
        <x:v>P001</x:v>
      </x:c>
      <x:c r="H178" t="str">
        <x:f>INDEX(Products!$B$2:$B$13,MATCH(G178,Products!$A$2:$A$13,0))</x:f>
        <x:v>Wireless Headset</x:v>
      </x:c>
      <x:c r="I178" t="str">
        <x:f>INDEX(Products!$C$2:$C$13,MATCH(G178,Products!$A$2:$A$13,0))</x:f>
        <x:v>Accessories</x:v>
      </x:c>
      <x:c r="J178" t="str">
        <x:f>Raw_Orders!G178</x:f>
        <x:v>Partner</x:v>
      </x:c>
      <x:c r="K178" t="n">
        <x:f>Raw_Orders!E178</x:f>
        <x:v>6</x:v>
      </x:c>
      <x:c r="L178" s="12" t="n">
        <x:f>Raw_Orders!F178</x:f>
        <x:v>0</x:v>
      </x:c>
      <x:c r="M178" s="14" t="n">
        <x:f>INDEX(Products!$D$2:$D$13,MATCH(G178,Products!$A$2:$A$13,0))</x:f>
        <x:v>85</x:v>
      </x:c>
      <x:c r="N178" s="14" t="n">
        <x:f>INDEX(Products!$E$2:$E$13,MATCH(G178,Products!$A$2:$A$13,0))</x:f>
        <x:v>42</x:v>
      </x:c>
      <x:c r="O178" s="14" t="n">
        <x:f>K178*M178</x:f>
        <x:v>510</x:v>
      </x:c>
      <x:c r="P178" s="14" t="n">
        <x:f>O178*(1-L178)</x:f>
        <x:v>510</x:v>
      </x:c>
      <x:c r="Q178" s="14" t="n">
        <x:f>K178*N178</x:f>
        <x:v>252</x:v>
      </x:c>
      <x:c r="R178" s="14" t="n">
        <x:f>P178-Q178</x:f>
        <x:v>258</x:v>
      </x:c>
      <x:c r="S178" s="16" t="n">
        <x:f>IFERROR(R178/P178,0)</x:f>
        <x:v>0.5058823529411764</x:v>
      </x:c>
    </x:row>
    <x:row r="179" ht="15" hidden="0" customHeight="1">
      <x:c r="A179" t="str">
        <x:f>Raw_Orders!A179</x:f>
        <x:v>O0178</x:v>
      </x:c>
      <x:c r="B179" s="10" t="n">
        <x:f>Raw_Orders!B179</x:f>
        <x:v>45678</x:v>
      </x:c>
      <x:c r="C179" t="str">
        <x:f>Raw_Orders!C179</x:f>
        <x:v>C023</x:v>
      </x:c>
      <x:c r="D179" t="str">
        <x:f>INDEX(Customers!$B$2:$B$81,MATCH(C179,Customers!$A$2:$A$81,0))</x:f>
        <x:v>Customer 23</x:v>
      </x:c>
      <x:c r="E179" t="str">
        <x:f>INDEX(Customers!$C$2:$C$81,MATCH(C179,Customers!$A$2:$A$81,0))</x:f>
        <x:v>Corporate</x:v>
      </x:c>
      <x:c r="F179" t="str">
        <x:f>INDEX(Customers!$D$2:$D$81,MATCH(C179,Customers!$A$2:$A$81,0))</x:f>
        <x:v>East</x:v>
      </x:c>
      <x:c r="G179" t="str">
        <x:f>Raw_Orders!D179</x:f>
        <x:v>P008</x:v>
      </x:c>
      <x:c r="H179" t="str">
        <x:f>INDEX(Products!$B$2:$B$13,MATCH(G179,Products!$A$2:$A$13,0))</x:f>
        <x:v>Webcam</x:v>
      </x:c>
      <x:c r="I179" t="str">
        <x:f>INDEX(Products!$C$2:$C$13,MATCH(G179,Products!$A$2:$A$13,0))</x:f>
        <x:v>Accessories</x:v>
      </x:c>
      <x:c r="J179" t="str">
        <x:f>Raw_Orders!G179</x:f>
        <x:v>Retail</x:v>
      </x:c>
      <x:c r="K179" t="n">
        <x:f>Raw_Orders!E179</x:f>
        <x:v>5</x:v>
      </x:c>
      <x:c r="L179" s="12" t="n">
        <x:f>Raw_Orders!F179</x:f>
        <x:v>0.15</x:v>
      </x:c>
      <x:c r="M179" s="14" t="n">
        <x:f>INDEX(Products!$D$2:$D$13,MATCH(G179,Products!$A$2:$A$13,0))</x:f>
        <x:v>95</x:v>
      </x:c>
      <x:c r="N179" s="14" t="n">
        <x:f>INDEX(Products!$E$2:$E$13,MATCH(G179,Products!$A$2:$A$13,0))</x:f>
        <x:v>49</x:v>
      </x:c>
      <x:c r="O179" s="14" t="n">
        <x:f>K179*M179</x:f>
        <x:v>475</x:v>
      </x:c>
      <x:c r="P179" s="14" t="n">
        <x:f>O179*(1-L179)</x:f>
        <x:v>403.75</x:v>
      </x:c>
      <x:c r="Q179" s="14" t="n">
        <x:f>K179*N179</x:f>
        <x:v>245</x:v>
      </x:c>
      <x:c r="R179" s="14" t="n">
        <x:f>P179-Q179</x:f>
        <x:v>158.75</x:v>
      </x:c>
      <x:c r="S179" s="16" t="n">
        <x:f>IFERROR(R179/P179,0)</x:f>
        <x:v>0.3931888544891641</x:v>
      </x:c>
    </x:row>
    <x:row r="180" ht="15" hidden="0" customHeight="1">
      <x:c r="A180" t="str">
        <x:f>Raw_Orders!A180</x:f>
        <x:v>O0179</x:v>
      </x:c>
      <x:c r="B180" s="10" t="n">
        <x:f>Raw_Orders!B180</x:f>
        <x:v>45800</x:v>
      </x:c>
      <x:c r="C180" t="str">
        <x:f>Raw_Orders!C180</x:f>
        <x:v>C024</x:v>
      </x:c>
      <x:c r="D180" t="str">
        <x:f>INDEX(Customers!$B$2:$B$81,MATCH(C180,Customers!$A$2:$A$81,0))</x:f>
        <x:v>Customer 24</x:v>
      </x:c>
      <x:c r="E180" t="str">
        <x:f>INDEX(Customers!$C$2:$C$81,MATCH(C180,Customers!$A$2:$A$81,0))</x:f>
        <x:v>Small Business</x:v>
      </x:c>
      <x:c r="F180" t="str">
        <x:f>INDEX(Customers!$D$2:$D$81,MATCH(C180,Customers!$A$2:$A$81,0))</x:f>
        <x:v>West</x:v>
      </x:c>
      <x:c r="G180" t="str">
        <x:f>Raw_Orders!D180</x:f>
        <x:v>P010</x:v>
      </x:c>
      <x:c r="H180" t="str">
        <x:f>INDEX(Products!$B$2:$B$13,MATCH(G180,Products!$A$2:$A$13,0))</x:f>
        <x:v>Portable SSD</x:v>
      </x:c>
      <x:c r="I180" t="str">
        <x:f>INDEX(Products!$C$2:$C$13,MATCH(G180,Products!$A$2:$A$13,0))</x:f>
        <x:v>Storage</x:v>
      </x:c>
      <x:c r="J180" t="str">
        <x:f>Raw_Orders!G180</x:f>
        <x:v>Retail</x:v>
      </x:c>
      <x:c r="K180" t="n">
        <x:f>Raw_Orders!E180</x:f>
        <x:v>4</x:v>
      </x:c>
      <x:c r="L180" s="12" t="n">
        <x:f>Raw_Orders!F180</x:f>
        <x:v>0.15</x:v>
      </x:c>
      <x:c r="M180" s="14" t="n">
        <x:f>INDEX(Products!$D$2:$D$13,MATCH(G180,Products!$A$2:$A$13,0))</x:f>
        <x:v>145</x:v>
      </x:c>
      <x:c r="N180" s="14" t="n">
        <x:f>INDEX(Products!$E$2:$E$13,MATCH(G180,Products!$A$2:$A$13,0))</x:f>
        <x:v>86</x:v>
      </x:c>
      <x:c r="O180" s="14" t="n">
        <x:f>K180*M180</x:f>
        <x:v>580</x:v>
      </x:c>
      <x:c r="P180" s="14" t="n">
        <x:f>O180*(1-L180)</x:f>
        <x:v>493</x:v>
      </x:c>
      <x:c r="Q180" s="14" t="n">
        <x:f>K180*N180</x:f>
        <x:v>344</x:v>
      </x:c>
      <x:c r="R180" s="14" t="n">
        <x:f>P180-Q180</x:f>
        <x:v>149</x:v>
      </x:c>
      <x:c r="S180" s="16" t="n">
        <x:f>IFERROR(R180/P180,0)</x:f>
        <x:v>0.3022312373225152</x:v>
      </x:c>
    </x:row>
    <x:row r="181" ht="15" hidden="0" customHeight="1">
      <x:c r="A181" t="str">
        <x:f>Raw_Orders!A181</x:f>
        <x:v>O0180</x:v>
      </x:c>
      <x:c r="B181" s="10" t="n">
        <x:f>Raw_Orders!B181</x:f>
        <x:v>45704</x:v>
      </x:c>
      <x:c r="C181" t="str">
        <x:f>Raw_Orders!C181</x:f>
        <x:v>C061</x:v>
      </x:c>
      <x:c r="D181" t="str">
        <x:f>INDEX(Customers!$B$2:$B$81,MATCH(C181,Customers!$A$2:$A$81,0))</x:f>
        <x:v>Customer 61</x:v>
      </x:c>
      <x:c r="E181" t="str">
        <x:f>INDEX(Customers!$C$2:$C$81,MATCH(C181,Customers!$A$2:$A$81,0))</x:f>
        <x:v>Consumer</x:v>
      </x:c>
      <x:c r="F181" t="str">
        <x:f>INDEX(Customers!$D$2:$D$81,MATCH(C181,Customers!$A$2:$A$81,0))</x:f>
        <x:v>North</x:v>
      </x:c>
      <x:c r="G181" t="str">
        <x:f>Raw_Orders!D181</x:f>
        <x:v>P006</x:v>
      </x:c>
      <x:c r="H181" t="str">
        <x:f>INDEX(Products!$B$2:$B$13,MATCH(G181,Products!$A$2:$A$13,0))</x:f>
        <x:v>Laptop Stand</x:v>
      </x:c>
      <x:c r="I181" t="str">
        <x:f>INDEX(Products!$C$2:$C$13,MATCH(G181,Products!$A$2:$A$13,0))</x:f>
        <x:v>Office</x:v>
      </x:c>
      <x:c r="J181" t="str">
        <x:f>Raw_Orders!G181</x:f>
        <x:v>Retail</x:v>
      </x:c>
      <x:c r="K181" t="n">
        <x:f>Raw_Orders!E181</x:f>
        <x:v>4</x:v>
      </x:c>
      <x:c r="L181" s="12" t="n">
        <x:f>Raw_Orders!F181</x:f>
        <x:v>0</x:v>
      </x:c>
      <x:c r="M181" s="14" t="n">
        <x:f>INDEX(Products!$D$2:$D$13,MATCH(G181,Products!$A$2:$A$13,0))</x:f>
        <x:v>55</x:v>
      </x:c>
      <x:c r="N181" s="14" t="n">
        <x:f>INDEX(Products!$E$2:$E$13,MATCH(G181,Products!$A$2:$A$13,0))</x:f>
        <x:v>24</x:v>
      </x:c>
      <x:c r="O181" s="14" t="n">
        <x:f>K181*M181</x:f>
        <x:v>220</x:v>
      </x:c>
      <x:c r="P181" s="14" t="n">
        <x:f>O181*(1-L181)</x:f>
        <x:v>220</x:v>
      </x:c>
      <x:c r="Q181" s="14" t="n">
        <x:f>K181*N181</x:f>
        <x:v>96</x:v>
      </x:c>
      <x:c r="R181" s="14" t="n">
        <x:f>P181-Q181</x:f>
        <x:v>124</x:v>
      </x:c>
      <x:c r="S181" s="16" t="n">
        <x:f>IFERROR(R181/P181,0)</x:f>
        <x:v>0.5636363636363636</x:v>
      </x:c>
    </x:row>
    <x:row r="182" ht="15" hidden="0" customHeight="1">
      <x:c r="A182" t="str">
        <x:f>Raw_Orders!A182</x:f>
        <x:v>O0181</x:v>
      </x:c>
      <x:c r="B182" s="10" t="n">
        <x:f>Raw_Orders!B182</x:f>
        <x:v>46001</x:v>
      </x:c>
      <x:c r="C182" t="str">
        <x:f>Raw_Orders!C182</x:f>
        <x:v>C014</x:v>
      </x:c>
      <x:c r="D182" t="str">
        <x:f>INDEX(Customers!$B$2:$B$81,MATCH(C182,Customers!$A$2:$A$81,0))</x:f>
        <x:v>Customer 14</x:v>
      </x:c>
      <x:c r="E182" t="str">
        <x:f>INDEX(Customers!$C$2:$C$81,MATCH(C182,Customers!$A$2:$A$81,0))</x:f>
        <x:v>Corporate</x:v>
      </x:c>
      <x:c r="F182" t="str">
        <x:f>INDEX(Customers!$D$2:$D$81,MATCH(C182,Customers!$A$2:$A$81,0))</x:f>
        <x:v>South</x:v>
      </x:c>
      <x:c r="G182" t="str">
        <x:f>Raw_Orders!D182</x:f>
        <x:v>P003</x:v>
      </x:c>
      <x:c r="H182" t="str">
        <x:f>INDEX(Products!$B$2:$B$13,MATCH(G182,Products!$A$2:$A$13,0))</x:f>
        <x:v>USB-C Hub</x:v>
      </x:c>
      <x:c r="I182" t="str">
        <x:f>INDEX(Products!$C$2:$C$13,MATCH(G182,Products!$A$2:$A$13,0))</x:f>
        <x:v>Accessories</x:v>
      </x:c>
      <x:c r="J182" t="str">
        <x:f>Raw_Orders!G182</x:f>
        <x:v>Partner</x:v>
      </x:c>
      <x:c r="K182" t="n">
        <x:f>Raw_Orders!E182</x:f>
        <x:v>3</x:v>
      </x:c>
      <x:c r="L182" s="12" t="n">
        <x:f>Raw_Orders!F182</x:f>
        <x:v>0.05</x:v>
      </x:c>
      <x:c r="M182" s="14" t="n">
        <x:f>INDEX(Products!$D$2:$D$13,MATCH(G182,Products!$A$2:$A$13,0))</x:f>
        <x:v>65</x:v>
      </x:c>
      <x:c r="N182" s="14" t="n">
        <x:f>INDEX(Products!$E$2:$E$13,MATCH(G182,Products!$A$2:$A$13,0))</x:f>
        <x:v>31</x:v>
      </x:c>
      <x:c r="O182" s="14" t="n">
        <x:f>K182*M182</x:f>
        <x:v>195</x:v>
      </x:c>
      <x:c r="P182" s="14" t="n">
        <x:f>O182*(1-L182)</x:f>
        <x:v>185.25</x:v>
      </x:c>
      <x:c r="Q182" s="14" t="n">
        <x:f>K182*N182</x:f>
        <x:v>93</x:v>
      </x:c>
      <x:c r="R182" s="14" t="n">
        <x:f>P182-Q182</x:f>
        <x:v>92.25</x:v>
      </x:c>
      <x:c r="S182" s="16" t="n">
        <x:f>IFERROR(R182/P182,0)</x:f>
        <x:v>0.4979757085020243</x:v>
      </x:c>
    </x:row>
    <x:row r="183" ht="15" hidden="0" customHeight="1">
      <x:c r="A183" t="str">
        <x:f>Raw_Orders!A183</x:f>
        <x:v>O0182</x:v>
      </x:c>
      <x:c r="B183" s="10" t="n">
        <x:f>Raw_Orders!B183</x:f>
        <x:v>45911</x:v>
      </x:c>
      <x:c r="C183" t="str">
        <x:f>Raw_Orders!C183</x:f>
        <x:v>C037</x:v>
      </x:c>
      <x:c r="D183" t="str">
        <x:f>INDEX(Customers!$B$2:$B$81,MATCH(C183,Customers!$A$2:$A$81,0))</x:f>
        <x:v>Customer 37</x:v>
      </x:c>
      <x:c r="E183" t="str">
        <x:f>INDEX(Customers!$C$2:$C$81,MATCH(C183,Customers!$A$2:$A$81,0))</x:f>
        <x:v>Consumer</x:v>
      </x:c>
      <x:c r="F183" t="str">
        <x:f>INDEX(Customers!$D$2:$D$81,MATCH(C183,Customers!$A$2:$A$81,0))</x:f>
        <x:v>North</x:v>
      </x:c>
      <x:c r="G183" t="str">
        <x:f>Raw_Orders!D183</x:f>
        <x:v>P011</x:v>
      </x:c>
      <x:c r="H183" t="str">
        <x:f>INDEX(Products!$B$2:$B$13,MATCH(G183,Products!$A$2:$A$13,0))</x:f>
        <x:v>External HDD</x:v>
      </x:c>
      <x:c r="I183" t="str">
        <x:f>INDEX(Products!$C$2:$C$13,MATCH(G183,Products!$A$2:$A$13,0))</x:f>
        <x:v>Storage</x:v>
      </x:c>
      <x:c r="J183" t="str">
        <x:f>Raw_Orders!G183</x:f>
        <x:v>Online</x:v>
      </x:c>
      <x:c r="K183" t="n">
        <x:f>Raw_Orders!E183</x:f>
        <x:v>4</x:v>
      </x:c>
      <x:c r="L183" s="12" t="n">
        <x:f>Raw_Orders!F183</x:f>
        <x:v>0.1</x:v>
      </x:c>
      <x:c r="M183" s="14" t="n">
        <x:f>INDEX(Products!$D$2:$D$13,MATCH(G183,Products!$A$2:$A$13,0))</x:f>
        <x:v>120</x:v>
      </x:c>
      <x:c r="N183" s="14" t="n">
        <x:f>INDEX(Products!$E$2:$E$13,MATCH(G183,Products!$A$2:$A$13,0))</x:f>
        <x:v>72</x:v>
      </x:c>
      <x:c r="O183" s="14" t="n">
        <x:f>K183*M183</x:f>
        <x:v>480</x:v>
      </x:c>
      <x:c r="P183" s="14" t="n">
        <x:f>O183*(1-L183)</x:f>
        <x:v>432</x:v>
      </x:c>
      <x:c r="Q183" s="14" t="n">
        <x:f>K183*N183</x:f>
        <x:v>288</x:v>
      </x:c>
      <x:c r="R183" s="14" t="n">
        <x:f>P183-Q183</x:f>
        <x:v>144</x:v>
      </x:c>
      <x:c r="S183" s="16" t="n">
        <x:f>IFERROR(R183/P183,0)</x:f>
        <x:v>0.3333333333333333</x:v>
      </x:c>
    </x:row>
    <x:row r="184" ht="15" hidden="0" customHeight="1">
      <x:c r="A184" t="str">
        <x:f>Raw_Orders!A184</x:f>
        <x:v>O0183</x:v>
      </x:c>
      <x:c r="B184" s="10" t="n">
        <x:f>Raw_Orders!B184</x:f>
        <x:v>45890</x:v>
      </x:c>
      <x:c r="C184" t="str">
        <x:f>Raw_Orders!C184</x:f>
        <x:v>C012</x:v>
      </x:c>
      <x:c r="D184" t="str">
        <x:f>INDEX(Customers!$B$2:$B$81,MATCH(C184,Customers!$A$2:$A$81,0))</x:f>
        <x:v>Customer 12</x:v>
      </x:c>
      <x:c r="E184" t="str">
        <x:f>INDEX(Customers!$C$2:$C$81,MATCH(C184,Customers!$A$2:$A$81,0))</x:f>
        <x:v>Small Business</x:v>
      </x:c>
      <x:c r="F184" t="str">
        <x:f>INDEX(Customers!$D$2:$D$81,MATCH(C184,Customers!$A$2:$A$81,0))</x:f>
        <x:v>West</x:v>
      </x:c>
      <x:c r="G184" t="str">
        <x:f>Raw_Orders!D184</x:f>
        <x:v>P006</x:v>
      </x:c>
      <x:c r="H184" t="str">
        <x:f>INDEX(Products!$B$2:$B$13,MATCH(G184,Products!$A$2:$A$13,0))</x:f>
        <x:v>Laptop Stand</x:v>
      </x:c>
      <x:c r="I184" t="str">
        <x:f>INDEX(Products!$C$2:$C$13,MATCH(G184,Products!$A$2:$A$13,0))</x:f>
        <x:v>Office</x:v>
      </x:c>
      <x:c r="J184" t="str">
        <x:f>Raw_Orders!G184</x:f>
        <x:v>Online</x:v>
      </x:c>
      <x:c r="K184" t="n">
        <x:f>Raw_Orders!E184</x:f>
        <x:v>3</x:v>
      </x:c>
      <x:c r="L184" s="12" t="n">
        <x:f>Raw_Orders!F184</x:f>
        <x:v>0</x:v>
      </x:c>
      <x:c r="M184" s="14" t="n">
        <x:f>INDEX(Products!$D$2:$D$13,MATCH(G184,Products!$A$2:$A$13,0))</x:f>
        <x:v>55</x:v>
      </x:c>
      <x:c r="N184" s="14" t="n">
        <x:f>INDEX(Products!$E$2:$E$13,MATCH(G184,Products!$A$2:$A$13,0))</x:f>
        <x:v>24</x:v>
      </x:c>
      <x:c r="O184" s="14" t="n">
        <x:f>K184*M184</x:f>
        <x:v>165</x:v>
      </x:c>
      <x:c r="P184" s="14" t="n">
        <x:f>O184*(1-L184)</x:f>
        <x:v>165</x:v>
      </x:c>
      <x:c r="Q184" s="14" t="n">
        <x:f>K184*N184</x:f>
        <x:v>72</x:v>
      </x:c>
      <x:c r="R184" s="14" t="n">
        <x:f>P184-Q184</x:f>
        <x:v>93</x:v>
      </x:c>
      <x:c r="S184" s="16" t="n">
        <x:f>IFERROR(R184/P184,0)</x:f>
        <x:v>0.5636363636363636</x:v>
      </x:c>
    </x:row>
    <x:row r="185" ht="15" hidden="0" customHeight="1">
      <x:c r="A185" t="str">
        <x:f>Raw_Orders!A185</x:f>
        <x:v>O0184</x:v>
      </x:c>
      <x:c r="B185" s="10" t="n">
        <x:f>Raw_Orders!B185</x:f>
        <x:v>45864</x:v>
      </x:c>
      <x:c r="C185" t="str">
        <x:f>Raw_Orders!C185</x:f>
        <x:v>C066</x:v>
      </x:c>
      <x:c r="D185" t="str">
        <x:f>INDEX(Customers!$B$2:$B$81,MATCH(C185,Customers!$A$2:$A$81,0))</x:f>
        <x:v>Customer 66</x:v>
      </x:c>
      <x:c r="E185" t="str">
        <x:f>INDEX(Customers!$C$2:$C$81,MATCH(C185,Customers!$A$2:$A$81,0))</x:f>
        <x:v>Small Business</x:v>
      </x:c>
      <x:c r="F185" t="str">
        <x:f>INDEX(Customers!$D$2:$D$81,MATCH(C185,Customers!$A$2:$A$81,0))</x:f>
        <x:v>South</x:v>
      </x:c>
      <x:c r="G185" t="str">
        <x:f>Raw_Orders!D185</x:f>
        <x:v>P001</x:v>
      </x:c>
      <x:c r="H185" t="str">
        <x:f>INDEX(Products!$B$2:$B$13,MATCH(G185,Products!$A$2:$A$13,0))</x:f>
        <x:v>Wireless Headset</x:v>
      </x:c>
      <x:c r="I185" t="str">
        <x:f>INDEX(Products!$C$2:$C$13,MATCH(G185,Products!$A$2:$A$13,0))</x:f>
        <x:v>Accessories</x:v>
      </x:c>
      <x:c r="J185" t="str">
        <x:f>Raw_Orders!G185</x:f>
        <x:v>Retail</x:v>
      </x:c>
      <x:c r="K185" t="n">
        <x:f>Raw_Orders!E185</x:f>
        <x:v>6</x:v>
      </x:c>
      <x:c r="L185" s="12" t="n">
        <x:f>Raw_Orders!F185</x:f>
        <x:v>0.1</x:v>
      </x:c>
      <x:c r="M185" s="14" t="n">
        <x:f>INDEX(Products!$D$2:$D$13,MATCH(G185,Products!$A$2:$A$13,0))</x:f>
        <x:v>85</x:v>
      </x:c>
      <x:c r="N185" s="14" t="n">
        <x:f>INDEX(Products!$E$2:$E$13,MATCH(G185,Products!$A$2:$A$13,0))</x:f>
        <x:v>42</x:v>
      </x:c>
      <x:c r="O185" s="14" t="n">
        <x:f>K185*M185</x:f>
        <x:v>510</x:v>
      </x:c>
      <x:c r="P185" s="14" t="n">
        <x:f>O185*(1-L185)</x:f>
        <x:v>459</x:v>
      </x:c>
      <x:c r="Q185" s="14" t="n">
        <x:f>K185*N185</x:f>
        <x:v>252</x:v>
      </x:c>
      <x:c r="R185" s="14" t="n">
        <x:f>P185-Q185</x:f>
        <x:v>207</x:v>
      </x:c>
      <x:c r="S185" s="16" t="n">
        <x:f>IFERROR(R185/P185,0)</x:f>
        <x:v>0.45098039215686275</x:v>
      </x:c>
    </x:row>
    <x:row r="186" ht="15" hidden="0" customHeight="1">
      <x:c r="A186" t="str">
        <x:f>Raw_Orders!A186</x:f>
        <x:v>O0185</x:v>
      </x:c>
      <x:c r="B186" s="10" t="n">
        <x:f>Raw_Orders!B186</x:f>
        <x:v>45869</x:v>
      </x:c>
      <x:c r="C186" t="str">
        <x:f>Raw_Orders!C186</x:f>
        <x:v>C007</x:v>
      </x:c>
      <x:c r="D186" t="str">
        <x:f>INDEX(Customers!$B$2:$B$81,MATCH(C186,Customers!$A$2:$A$81,0))</x:f>
        <x:v>Customer 07</x:v>
      </x:c>
      <x:c r="E186" t="str">
        <x:f>INDEX(Customers!$C$2:$C$81,MATCH(C186,Customers!$A$2:$A$81,0))</x:f>
        <x:v>Consumer</x:v>
      </x:c>
      <x:c r="F186" t="str">
        <x:f>INDEX(Customers!$D$2:$D$81,MATCH(C186,Customers!$A$2:$A$81,0))</x:f>
        <x:v>East</x:v>
      </x:c>
      <x:c r="G186" t="str">
        <x:f>Raw_Orders!D186</x:f>
        <x:v>P004</x:v>
      </x:c>
      <x:c r="H186" t="str">
        <x:f>INDEX(Products!$B$2:$B$13,MATCH(G186,Products!$A$2:$A$13,0))</x:f>
        <x:v>24in Monitor</x:v>
      </x:c>
      <x:c r="I186" t="str">
        <x:f>INDEX(Products!$C$2:$C$13,MATCH(G186,Products!$A$2:$A$13,0))</x:f>
        <x:v>Displays</x:v>
      </x:c>
      <x:c r="J186" t="str">
        <x:f>Raw_Orders!G186</x:f>
        <x:v>Partner</x:v>
      </x:c>
      <x:c r="K186" t="n">
        <x:f>Raw_Orders!E186</x:f>
        <x:v>5</x:v>
      </x:c>
      <x:c r="L186" s="12" t="n">
        <x:f>Raw_Orders!F186</x:f>
        <x:v>0</x:v>
      </x:c>
      <x:c r="M186" s="14" t="n">
        <x:f>INDEX(Products!$D$2:$D$13,MATCH(G186,Products!$A$2:$A$13,0))</x:f>
        <x:v>220</x:v>
      </x:c>
      <x:c r="N186" s="14" t="n">
        <x:f>INDEX(Products!$E$2:$E$13,MATCH(G186,Products!$A$2:$A$13,0))</x:f>
        <x:v>142</x:v>
      </x:c>
      <x:c r="O186" s="14" t="n">
        <x:f>K186*M186</x:f>
        <x:v>1100</x:v>
      </x:c>
      <x:c r="P186" s="14" t="n">
        <x:f>O186*(1-L186)</x:f>
        <x:v>1100</x:v>
      </x:c>
      <x:c r="Q186" s="14" t="n">
        <x:f>K186*N186</x:f>
        <x:v>710</x:v>
      </x:c>
      <x:c r="R186" s="14" t="n">
        <x:f>P186-Q186</x:f>
        <x:v>390</x:v>
      </x:c>
      <x:c r="S186" s="16" t="n">
        <x:f>IFERROR(R186/P186,0)</x:f>
        <x:v>0.35454545454545455</x:v>
      </x:c>
    </x:row>
    <x:row r="187" ht="15" hidden="0" customHeight="1">
      <x:c r="A187" t="str">
        <x:f>Raw_Orders!A187</x:f>
        <x:v>O0186</x:v>
      </x:c>
      <x:c r="B187" s="10" t="n">
        <x:f>Raw_Orders!B187</x:f>
        <x:v>45913</x:v>
      </x:c>
      <x:c r="C187" t="str">
        <x:f>Raw_Orders!C187</x:f>
        <x:v>C057</x:v>
      </x:c>
      <x:c r="D187" t="str">
        <x:f>INDEX(Customers!$B$2:$B$81,MATCH(C187,Customers!$A$2:$A$81,0))</x:f>
        <x:v>Customer 57</x:v>
      </x:c>
      <x:c r="E187" t="str">
        <x:f>INDEX(Customers!$C$2:$C$81,MATCH(C187,Customers!$A$2:$A$81,0))</x:f>
        <x:v>Small Business</x:v>
      </x:c>
      <x:c r="F187" t="str">
        <x:f>INDEX(Customers!$D$2:$D$81,MATCH(C187,Customers!$A$2:$A$81,0))</x:f>
        <x:v>North</x:v>
      </x:c>
      <x:c r="G187" t="str">
        <x:f>Raw_Orders!D187</x:f>
        <x:v>P001</x:v>
      </x:c>
      <x:c r="H187" t="str">
        <x:f>INDEX(Products!$B$2:$B$13,MATCH(G187,Products!$A$2:$A$13,0))</x:f>
        <x:v>Wireless Headset</x:v>
      </x:c>
      <x:c r="I187" t="str">
        <x:f>INDEX(Products!$C$2:$C$13,MATCH(G187,Products!$A$2:$A$13,0))</x:f>
        <x:v>Accessories</x:v>
      </x:c>
      <x:c r="J187" t="str">
        <x:f>Raw_Orders!G187</x:f>
        <x:v>Partner</x:v>
      </x:c>
      <x:c r="K187" t="n">
        <x:f>Raw_Orders!E187</x:f>
        <x:v>2</x:v>
      </x:c>
      <x:c r="L187" s="12" t="n">
        <x:f>Raw_Orders!F187</x:f>
        <x:v>0</x:v>
      </x:c>
      <x:c r="M187" s="14" t="n">
        <x:f>INDEX(Products!$D$2:$D$13,MATCH(G187,Products!$A$2:$A$13,0))</x:f>
        <x:v>85</x:v>
      </x:c>
      <x:c r="N187" s="14" t="n">
        <x:f>INDEX(Products!$E$2:$E$13,MATCH(G187,Products!$A$2:$A$13,0))</x:f>
        <x:v>42</x:v>
      </x:c>
      <x:c r="O187" s="14" t="n">
        <x:f>K187*M187</x:f>
        <x:v>170</x:v>
      </x:c>
      <x:c r="P187" s="14" t="n">
        <x:f>O187*(1-L187)</x:f>
        <x:v>170</x:v>
      </x:c>
      <x:c r="Q187" s="14" t="n">
        <x:f>K187*N187</x:f>
        <x:v>84</x:v>
      </x:c>
      <x:c r="R187" s="14" t="n">
        <x:f>P187-Q187</x:f>
        <x:v>86</x:v>
      </x:c>
      <x:c r="S187" s="16" t="n">
        <x:f>IFERROR(R187/P187,0)</x:f>
        <x:v>0.5058823529411764</x:v>
      </x:c>
    </x:row>
    <x:row r="188" ht="15" hidden="0" customHeight="1">
      <x:c r="A188" t="str">
        <x:f>Raw_Orders!A188</x:f>
        <x:v>O0187</x:v>
      </x:c>
      <x:c r="B188" s="10" t="n">
        <x:f>Raw_Orders!B188</x:f>
        <x:v>45725</x:v>
      </x:c>
      <x:c r="C188" t="str">
        <x:f>Raw_Orders!C188</x:f>
        <x:v>C037</x:v>
      </x:c>
      <x:c r="D188" t="str">
        <x:f>INDEX(Customers!$B$2:$B$81,MATCH(C188,Customers!$A$2:$A$81,0))</x:f>
        <x:v>Customer 37</x:v>
      </x:c>
      <x:c r="E188" t="str">
        <x:f>INDEX(Customers!$C$2:$C$81,MATCH(C188,Customers!$A$2:$A$81,0))</x:f>
        <x:v>Consumer</x:v>
      </x:c>
      <x:c r="F188" t="str">
        <x:f>INDEX(Customers!$D$2:$D$81,MATCH(C188,Customers!$A$2:$A$81,0))</x:f>
        <x:v>North</x:v>
      </x:c>
      <x:c r="G188" t="str">
        <x:f>Raw_Orders!D188</x:f>
        <x:v>P008</x:v>
      </x:c>
      <x:c r="H188" t="str">
        <x:f>INDEX(Products!$B$2:$B$13,MATCH(G188,Products!$A$2:$A$13,0))</x:f>
        <x:v>Webcam</x:v>
      </x:c>
      <x:c r="I188" t="str">
        <x:f>INDEX(Products!$C$2:$C$13,MATCH(G188,Products!$A$2:$A$13,0))</x:f>
        <x:v>Accessories</x:v>
      </x:c>
      <x:c r="J188" t="str">
        <x:f>Raw_Orders!G188</x:f>
        <x:v>Online</x:v>
      </x:c>
      <x:c r="K188" t="n">
        <x:f>Raw_Orders!E188</x:f>
        <x:v>6</x:v>
      </x:c>
      <x:c r="L188" s="12" t="n">
        <x:f>Raw_Orders!F188</x:f>
        <x:v>0.05</x:v>
      </x:c>
      <x:c r="M188" s="14" t="n">
        <x:f>INDEX(Products!$D$2:$D$13,MATCH(G188,Products!$A$2:$A$13,0))</x:f>
        <x:v>95</x:v>
      </x:c>
      <x:c r="N188" s="14" t="n">
        <x:f>INDEX(Products!$E$2:$E$13,MATCH(G188,Products!$A$2:$A$13,0))</x:f>
        <x:v>49</x:v>
      </x:c>
      <x:c r="O188" s="14" t="n">
        <x:f>K188*M188</x:f>
        <x:v>570</x:v>
      </x:c>
      <x:c r="P188" s="14" t="n">
        <x:f>O188*(1-L188)</x:f>
        <x:v>541.5</x:v>
      </x:c>
      <x:c r="Q188" s="14" t="n">
        <x:f>K188*N188</x:f>
        <x:v>294</x:v>
      </x:c>
      <x:c r="R188" s="14" t="n">
        <x:f>P188-Q188</x:f>
        <x:v>247.5</x:v>
      </x:c>
      <x:c r="S188" s="16" t="n">
        <x:f>IFERROR(R188/P188,0)</x:f>
        <x:v>0.45706371191135736</x:v>
      </x:c>
    </x:row>
    <x:row r="189" ht="15" hidden="0" customHeight="1">
      <x:c r="A189" t="str">
        <x:f>Raw_Orders!A189</x:f>
        <x:v>O0188</x:v>
      </x:c>
      <x:c r="B189" s="10" t="n">
        <x:f>Raw_Orders!B189</x:f>
        <x:v>45672</x:v>
      </x:c>
      <x:c r="C189" t="str">
        <x:f>Raw_Orders!C189</x:f>
        <x:v>C078</x:v>
      </x:c>
      <x:c r="D189" t="str">
        <x:f>INDEX(Customers!$B$2:$B$81,MATCH(C189,Customers!$A$2:$A$81,0))</x:f>
        <x:v>Customer 78</x:v>
      </x:c>
      <x:c r="E189" t="str">
        <x:f>INDEX(Customers!$C$2:$C$81,MATCH(C189,Customers!$A$2:$A$81,0))</x:f>
        <x:v>Small Business</x:v>
      </x:c>
      <x:c r="F189" t="str">
        <x:f>INDEX(Customers!$D$2:$D$81,MATCH(C189,Customers!$A$2:$A$81,0))</x:f>
        <x:v>South</x:v>
      </x:c>
      <x:c r="G189" t="str">
        <x:f>Raw_Orders!D189</x:f>
        <x:v>P004</x:v>
      </x:c>
      <x:c r="H189" t="str">
        <x:f>INDEX(Products!$B$2:$B$13,MATCH(G189,Products!$A$2:$A$13,0))</x:f>
        <x:v>24in Monitor</x:v>
      </x:c>
      <x:c r="I189" t="str">
        <x:f>INDEX(Products!$C$2:$C$13,MATCH(G189,Products!$A$2:$A$13,0))</x:f>
        <x:v>Displays</x:v>
      </x:c>
      <x:c r="J189" t="str">
        <x:f>Raw_Orders!G189</x:f>
        <x:v>Retail</x:v>
      </x:c>
      <x:c r="K189" t="n">
        <x:f>Raw_Orders!E189</x:f>
        <x:v>6</x:v>
      </x:c>
      <x:c r="L189" s="12" t="n">
        <x:f>Raw_Orders!F189</x:f>
        <x:v>0</x:v>
      </x:c>
      <x:c r="M189" s="14" t="n">
        <x:f>INDEX(Products!$D$2:$D$13,MATCH(G189,Products!$A$2:$A$13,0))</x:f>
        <x:v>220</x:v>
      </x:c>
      <x:c r="N189" s="14" t="n">
        <x:f>INDEX(Products!$E$2:$E$13,MATCH(G189,Products!$A$2:$A$13,0))</x:f>
        <x:v>142</x:v>
      </x:c>
      <x:c r="O189" s="14" t="n">
        <x:f>K189*M189</x:f>
        <x:v>1320</x:v>
      </x:c>
      <x:c r="P189" s="14" t="n">
        <x:f>O189*(1-L189)</x:f>
        <x:v>1320</x:v>
      </x:c>
      <x:c r="Q189" s="14" t="n">
        <x:f>K189*N189</x:f>
        <x:v>852</x:v>
      </x:c>
      <x:c r="R189" s="14" t="n">
        <x:f>P189-Q189</x:f>
        <x:v>468</x:v>
      </x:c>
      <x:c r="S189" s="16" t="n">
        <x:f>IFERROR(R189/P189,0)</x:f>
        <x:v>0.35454545454545455</x:v>
      </x:c>
    </x:row>
    <x:row r="190" ht="15" hidden="0" customHeight="1">
      <x:c r="A190" t="str">
        <x:f>Raw_Orders!A190</x:f>
        <x:v>O0189</x:v>
      </x:c>
      <x:c r="B190" s="10" t="n">
        <x:f>Raw_Orders!B190</x:f>
        <x:v>45940</x:v>
      </x:c>
      <x:c r="C190" t="str">
        <x:f>Raw_Orders!C190</x:f>
        <x:v>C002</x:v>
      </x:c>
      <x:c r="D190" t="str">
        <x:f>INDEX(Customers!$B$2:$B$81,MATCH(C190,Customers!$A$2:$A$81,0))</x:f>
        <x:v>Customer 02</x:v>
      </x:c>
      <x:c r="E190" t="str">
        <x:f>INDEX(Customers!$C$2:$C$81,MATCH(C190,Customers!$A$2:$A$81,0))</x:f>
        <x:v>Corporate</x:v>
      </x:c>
      <x:c r="F190" t="str">
        <x:f>INDEX(Customers!$D$2:$D$81,MATCH(C190,Customers!$A$2:$A$81,0))</x:f>
        <x:v>South</x:v>
      </x:c>
      <x:c r="G190" t="str">
        <x:f>Raw_Orders!D190</x:f>
        <x:v>P009</x:v>
      </x:c>
      <x:c r="H190" t="str">
        <x:f>INDEX(Products!$B$2:$B$13,MATCH(G190,Products!$A$2:$A$13,0))</x:f>
        <x:v>Desk Lamp</x:v>
      </x:c>
      <x:c r="I190" t="str">
        <x:f>INDEX(Products!$C$2:$C$13,MATCH(G190,Products!$A$2:$A$13,0))</x:f>
        <x:v>Office</x:v>
      </x:c>
      <x:c r="J190" t="str">
        <x:f>Raw_Orders!G190</x:f>
        <x:v>Online</x:v>
      </x:c>
      <x:c r="K190" t="n">
        <x:f>Raw_Orders!E190</x:f>
        <x:v>4</x:v>
      </x:c>
      <x:c r="L190" s="12" t="n">
        <x:f>Raw_Orders!F190</x:f>
        <x:v>0</x:v>
      </x:c>
      <x:c r="M190" s="14" t="n">
        <x:f>INDEX(Products!$D$2:$D$13,MATCH(G190,Products!$A$2:$A$13,0))</x:f>
        <x:v>70</x:v>
      </x:c>
      <x:c r="N190" s="14" t="n">
        <x:f>INDEX(Products!$E$2:$E$13,MATCH(G190,Products!$A$2:$A$13,0))</x:f>
        <x:v>29</x:v>
      </x:c>
      <x:c r="O190" s="14" t="n">
        <x:f>K190*M190</x:f>
        <x:v>280</x:v>
      </x:c>
      <x:c r="P190" s="14" t="n">
        <x:f>O190*(1-L190)</x:f>
        <x:v>280</x:v>
      </x:c>
      <x:c r="Q190" s="14" t="n">
        <x:f>K190*N190</x:f>
        <x:v>116</x:v>
      </x:c>
      <x:c r="R190" s="14" t="n">
        <x:f>P190-Q190</x:f>
        <x:v>164</x:v>
      </x:c>
      <x:c r="S190" s="16" t="n">
        <x:f>IFERROR(R190/P190,0)</x:f>
        <x:v>0.5857142857142857</x:v>
      </x:c>
    </x:row>
    <x:row r="191" ht="15" hidden="0" customHeight="1">
      <x:c r="A191" t="str">
        <x:f>Raw_Orders!A191</x:f>
        <x:v>O0190</x:v>
      </x:c>
      <x:c r="B191" s="10" t="n">
        <x:f>Raw_Orders!B191</x:f>
        <x:v>45716</x:v>
      </x:c>
      <x:c r="C191" t="str">
        <x:f>Raw_Orders!C191</x:f>
        <x:v>C060</x:v>
      </x:c>
      <x:c r="D191" t="str">
        <x:f>INDEX(Customers!$B$2:$B$81,MATCH(C191,Customers!$A$2:$A$81,0))</x:f>
        <x:v>Customer 60</x:v>
      </x:c>
      <x:c r="E191" t="str">
        <x:f>INDEX(Customers!$C$2:$C$81,MATCH(C191,Customers!$A$2:$A$81,0))</x:f>
        <x:v>Small Business</x:v>
      </x:c>
      <x:c r="F191" t="str">
        <x:f>INDEX(Customers!$D$2:$D$81,MATCH(C191,Customers!$A$2:$A$81,0))</x:f>
        <x:v>West</x:v>
      </x:c>
      <x:c r="G191" t="str">
        <x:f>Raw_Orders!D191</x:f>
        <x:v>P002</x:v>
      </x:c>
      <x:c r="H191" t="str">
        <x:f>INDEX(Products!$B$2:$B$13,MATCH(G191,Products!$A$2:$A$13,0))</x:f>
        <x:v>Mechanical Keyboard</x:v>
      </x:c>
      <x:c r="I191" t="str">
        <x:f>INDEX(Products!$C$2:$C$13,MATCH(G191,Products!$A$2:$A$13,0))</x:f>
        <x:v>Accessories</x:v>
      </x:c>
      <x:c r="J191" t="str">
        <x:f>Raw_Orders!G191</x:f>
        <x:v>Retail</x:v>
      </x:c>
      <x:c r="K191" t="n">
        <x:f>Raw_Orders!E191</x:f>
        <x:v>6</x:v>
      </x:c>
      <x:c r="L191" s="12" t="n">
        <x:f>Raw_Orders!F191</x:f>
        <x:v>0</x:v>
      </x:c>
      <x:c r="M191" s="14" t="n">
        <x:f>INDEX(Products!$D$2:$D$13,MATCH(G191,Products!$A$2:$A$13,0))</x:f>
        <x:v>110</x:v>
      </x:c>
      <x:c r="N191" s="14" t="n">
        <x:f>INDEX(Products!$E$2:$E$13,MATCH(G191,Products!$A$2:$A$13,0))</x:f>
        <x:v>58</x:v>
      </x:c>
      <x:c r="O191" s="14" t="n">
        <x:f>K191*M191</x:f>
        <x:v>660</x:v>
      </x:c>
      <x:c r="P191" s="14" t="n">
        <x:f>O191*(1-L191)</x:f>
        <x:v>660</x:v>
      </x:c>
      <x:c r="Q191" s="14" t="n">
        <x:f>K191*N191</x:f>
        <x:v>348</x:v>
      </x:c>
      <x:c r="R191" s="14" t="n">
        <x:f>P191-Q191</x:f>
        <x:v>312</x:v>
      </x:c>
      <x:c r="S191" s="16" t="n">
        <x:f>IFERROR(R191/P191,0)</x:f>
        <x:v>0.4727272727272727</x:v>
      </x:c>
    </x:row>
    <x:row r="192" ht="15" hidden="0" customHeight="1">
      <x:c r="A192" t="str">
        <x:f>Raw_Orders!A192</x:f>
        <x:v>O0191</x:v>
      </x:c>
      <x:c r="B192" s="10" t="n">
        <x:f>Raw_Orders!B192</x:f>
        <x:v>45807</x:v>
      </x:c>
      <x:c r="C192" t="str">
        <x:f>Raw_Orders!C192</x:f>
        <x:v>C066</x:v>
      </x:c>
      <x:c r="D192" t="str">
        <x:f>INDEX(Customers!$B$2:$B$81,MATCH(C192,Customers!$A$2:$A$81,0))</x:f>
        <x:v>Customer 66</x:v>
      </x:c>
      <x:c r="E192" t="str">
        <x:f>INDEX(Customers!$C$2:$C$81,MATCH(C192,Customers!$A$2:$A$81,0))</x:f>
        <x:v>Small Business</x:v>
      </x:c>
      <x:c r="F192" t="str">
        <x:f>INDEX(Customers!$D$2:$D$81,MATCH(C192,Customers!$A$2:$A$81,0))</x:f>
        <x:v>South</x:v>
      </x:c>
      <x:c r="G192" t="str">
        <x:f>Raw_Orders!D192</x:f>
        <x:v>P012</x:v>
      </x:c>
      <x:c r="H192" t="str">
        <x:f>INDEX(Products!$B$2:$B$13,MATCH(G192,Products!$A$2:$A$13,0))</x:f>
        <x:v>Docking Station</x:v>
      </x:c>
      <x:c r="I192" t="str">
        <x:f>INDEX(Products!$C$2:$C$13,MATCH(G192,Products!$A$2:$A$13,0))</x:f>
        <x:v>Accessories</x:v>
      </x:c>
      <x:c r="J192" t="str">
        <x:f>Raw_Orders!G192</x:f>
        <x:v>Retail</x:v>
      </x:c>
      <x:c r="K192" t="n">
        <x:f>Raw_Orders!E192</x:f>
        <x:v>3</x:v>
      </x:c>
      <x:c r="L192" s="12" t="n">
        <x:f>Raw_Orders!F192</x:f>
        <x:v>0.05</x:v>
      </x:c>
      <x:c r="M192" s="14" t="n">
        <x:f>INDEX(Products!$D$2:$D$13,MATCH(G192,Products!$A$2:$A$13,0))</x:f>
        <x:v>180</x:v>
      </x:c>
      <x:c r="N192" s="14" t="n">
        <x:f>INDEX(Products!$E$2:$E$13,MATCH(G192,Products!$A$2:$A$13,0))</x:f>
        <x:v>104</x:v>
      </x:c>
      <x:c r="O192" s="14" t="n">
        <x:f>K192*M192</x:f>
        <x:v>540</x:v>
      </x:c>
      <x:c r="P192" s="14" t="n">
        <x:f>O192*(1-L192)</x:f>
        <x:v>513</x:v>
      </x:c>
      <x:c r="Q192" s="14" t="n">
        <x:f>K192*N192</x:f>
        <x:v>312</x:v>
      </x:c>
      <x:c r="R192" s="14" t="n">
        <x:f>P192-Q192</x:f>
        <x:v>201</x:v>
      </x:c>
      <x:c r="S192" s="16" t="n">
        <x:f>IFERROR(R192/P192,0)</x:f>
        <x:v>0.391812865497076</x:v>
      </x:c>
    </x:row>
    <x:row r="193" ht="15" hidden="0" customHeight="1">
      <x:c r="A193" t="str">
        <x:f>Raw_Orders!A193</x:f>
        <x:v>O0192</x:v>
      </x:c>
      <x:c r="B193" s="10" t="n">
        <x:f>Raw_Orders!B193</x:f>
        <x:v>45899</x:v>
      </x:c>
      <x:c r="C193" t="str">
        <x:f>Raw_Orders!C193</x:f>
        <x:v>C032</x:v>
      </x:c>
      <x:c r="D193" t="str">
        <x:f>INDEX(Customers!$B$2:$B$81,MATCH(C193,Customers!$A$2:$A$81,0))</x:f>
        <x:v>Customer 32</x:v>
      </x:c>
      <x:c r="E193" t="str">
        <x:f>INDEX(Customers!$C$2:$C$81,MATCH(C193,Customers!$A$2:$A$81,0))</x:f>
        <x:v>Corporate</x:v>
      </x:c>
      <x:c r="F193" t="str">
        <x:f>INDEX(Customers!$D$2:$D$81,MATCH(C193,Customers!$A$2:$A$81,0))</x:f>
        <x:v>West</x:v>
      </x:c>
      <x:c r="G193" t="str">
        <x:f>Raw_Orders!D193</x:f>
        <x:v>P008</x:v>
      </x:c>
      <x:c r="H193" t="str">
        <x:f>INDEX(Products!$B$2:$B$13,MATCH(G193,Products!$A$2:$A$13,0))</x:f>
        <x:v>Webcam</x:v>
      </x:c>
      <x:c r="I193" t="str">
        <x:f>INDEX(Products!$C$2:$C$13,MATCH(G193,Products!$A$2:$A$13,0))</x:f>
        <x:v>Accessories</x:v>
      </x:c>
      <x:c r="J193" t="str">
        <x:f>Raw_Orders!G193</x:f>
        <x:v>Retail</x:v>
      </x:c>
      <x:c r="K193" t="n">
        <x:f>Raw_Orders!E193</x:f>
        <x:v>5</x:v>
      </x:c>
      <x:c r="L193" s="12" t="n">
        <x:f>Raw_Orders!F193</x:f>
        <x:v>0</x:v>
      </x:c>
      <x:c r="M193" s="14" t="n">
        <x:f>INDEX(Products!$D$2:$D$13,MATCH(G193,Products!$A$2:$A$13,0))</x:f>
        <x:v>95</x:v>
      </x:c>
      <x:c r="N193" s="14" t="n">
        <x:f>INDEX(Products!$E$2:$E$13,MATCH(G193,Products!$A$2:$A$13,0))</x:f>
        <x:v>49</x:v>
      </x:c>
      <x:c r="O193" s="14" t="n">
        <x:f>K193*M193</x:f>
        <x:v>475</x:v>
      </x:c>
      <x:c r="P193" s="14" t="n">
        <x:f>O193*(1-L193)</x:f>
        <x:v>475</x:v>
      </x:c>
      <x:c r="Q193" s="14" t="n">
        <x:f>K193*N193</x:f>
        <x:v>245</x:v>
      </x:c>
      <x:c r="R193" s="14" t="n">
        <x:f>P193-Q193</x:f>
        <x:v>230</x:v>
      </x:c>
      <x:c r="S193" s="16" t="n">
        <x:f>IFERROR(R193/P193,0)</x:f>
        <x:v>0.4842105263157895</x:v>
      </x:c>
    </x:row>
    <x:row r="194" ht="15" hidden="0" customHeight="1">
      <x:c r="A194" t="str">
        <x:f>Raw_Orders!A194</x:f>
        <x:v>O0193</x:v>
      </x:c>
      <x:c r="B194" s="10" t="n">
        <x:f>Raw_Orders!B194</x:f>
        <x:v>45755</x:v>
      </x:c>
      <x:c r="C194" t="str">
        <x:f>Raw_Orders!C194</x:f>
        <x:v>C077</x:v>
      </x:c>
      <x:c r="D194" t="str">
        <x:f>INDEX(Customers!$B$2:$B$81,MATCH(C194,Customers!$A$2:$A$81,0))</x:f>
        <x:v>Customer 77</x:v>
      </x:c>
      <x:c r="E194" t="str">
        <x:f>INDEX(Customers!$C$2:$C$81,MATCH(C194,Customers!$A$2:$A$81,0))</x:f>
        <x:v>Corporate</x:v>
      </x:c>
      <x:c r="F194" t="str">
        <x:f>INDEX(Customers!$D$2:$D$81,MATCH(C194,Customers!$A$2:$A$81,0))</x:f>
        <x:v>North</x:v>
      </x:c>
      <x:c r="G194" t="str">
        <x:f>Raw_Orders!D194</x:f>
        <x:v>P009</x:v>
      </x:c>
      <x:c r="H194" t="str">
        <x:f>INDEX(Products!$B$2:$B$13,MATCH(G194,Products!$A$2:$A$13,0))</x:f>
        <x:v>Desk Lamp</x:v>
      </x:c>
      <x:c r="I194" t="str">
        <x:f>INDEX(Products!$C$2:$C$13,MATCH(G194,Products!$A$2:$A$13,0))</x:f>
        <x:v>Office</x:v>
      </x:c>
      <x:c r="J194" t="str">
        <x:f>Raw_Orders!G194</x:f>
        <x:v>Online</x:v>
      </x:c>
      <x:c r="K194" t="n">
        <x:f>Raw_Orders!E194</x:f>
        <x:v>6</x:v>
      </x:c>
      <x:c r="L194" s="12" t="n">
        <x:f>Raw_Orders!F194</x:f>
        <x:v>0</x:v>
      </x:c>
      <x:c r="M194" s="14" t="n">
        <x:f>INDEX(Products!$D$2:$D$13,MATCH(G194,Products!$A$2:$A$13,0))</x:f>
        <x:v>70</x:v>
      </x:c>
      <x:c r="N194" s="14" t="n">
        <x:f>INDEX(Products!$E$2:$E$13,MATCH(G194,Products!$A$2:$A$13,0))</x:f>
        <x:v>29</x:v>
      </x:c>
      <x:c r="O194" s="14" t="n">
        <x:f>K194*M194</x:f>
        <x:v>420</x:v>
      </x:c>
      <x:c r="P194" s="14" t="n">
        <x:f>O194*(1-L194)</x:f>
        <x:v>420</x:v>
      </x:c>
      <x:c r="Q194" s="14" t="n">
        <x:f>K194*N194</x:f>
        <x:v>174</x:v>
      </x:c>
      <x:c r="R194" s="14" t="n">
        <x:f>P194-Q194</x:f>
        <x:v>246</x:v>
      </x:c>
      <x:c r="S194" s="16" t="n">
        <x:f>IFERROR(R194/P194,0)</x:f>
        <x:v>0.5857142857142857</x:v>
      </x:c>
    </x:row>
    <x:row r="195" ht="15" hidden="0" customHeight="1">
      <x:c r="A195" t="str">
        <x:f>Raw_Orders!A195</x:f>
        <x:v>O0194</x:v>
      </x:c>
      <x:c r="B195" s="10" t="n">
        <x:f>Raw_Orders!B195</x:f>
        <x:v>45799</x:v>
      </x:c>
      <x:c r="C195" t="str">
        <x:f>Raw_Orders!C195</x:f>
        <x:v>C054</x:v>
      </x:c>
      <x:c r="D195" t="str">
        <x:f>INDEX(Customers!$B$2:$B$81,MATCH(C195,Customers!$A$2:$A$81,0))</x:f>
        <x:v>Customer 54</x:v>
      </x:c>
      <x:c r="E195" t="str">
        <x:f>INDEX(Customers!$C$2:$C$81,MATCH(C195,Customers!$A$2:$A$81,0))</x:f>
        <x:v>Small Business</x:v>
      </x:c>
      <x:c r="F195" t="str">
        <x:f>INDEX(Customers!$D$2:$D$81,MATCH(C195,Customers!$A$2:$A$81,0))</x:f>
        <x:v>South</x:v>
      </x:c>
      <x:c r="G195" t="str">
        <x:f>Raw_Orders!D195</x:f>
        <x:v>P006</x:v>
      </x:c>
      <x:c r="H195" t="str">
        <x:f>INDEX(Products!$B$2:$B$13,MATCH(G195,Products!$A$2:$A$13,0))</x:f>
        <x:v>Laptop Stand</x:v>
      </x:c>
      <x:c r="I195" t="str">
        <x:f>INDEX(Products!$C$2:$C$13,MATCH(G195,Products!$A$2:$A$13,0))</x:f>
        <x:v>Office</x:v>
      </x:c>
      <x:c r="J195" t="str">
        <x:f>Raw_Orders!G195</x:f>
        <x:v>Online</x:v>
      </x:c>
      <x:c r="K195" t="n">
        <x:f>Raw_Orders!E195</x:f>
        <x:v>5</x:v>
      </x:c>
      <x:c r="L195" s="12" t="n">
        <x:f>Raw_Orders!F195</x:f>
        <x:v>0</x:v>
      </x:c>
      <x:c r="M195" s="14" t="n">
        <x:f>INDEX(Products!$D$2:$D$13,MATCH(G195,Products!$A$2:$A$13,0))</x:f>
        <x:v>55</x:v>
      </x:c>
      <x:c r="N195" s="14" t="n">
        <x:f>INDEX(Products!$E$2:$E$13,MATCH(G195,Products!$A$2:$A$13,0))</x:f>
        <x:v>24</x:v>
      </x:c>
      <x:c r="O195" s="14" t="n">
        <x:f>K195*M195</x:f>
        <x:v>275</x:v>
      </x:c>
      <x:c r="P195" s="14" t="n">
        <x:f>O195*(1-L195)</x:f>
        <x:v>275</x:v>
      </x:c>
      <x:c r="Q195" s="14" t="n">
        <x:f>K195*N195</x:f>
        <x:v>120</x:v>
      </x:c>
      <x:c r="R195" s="14" t="n">
        <x:f>P195-Q195</x:f>
        <x:v>155</x:v>
      </x:c>
      <x:c r="S195" s="16" t="n">
        <x:f>IFERROR(R195/P195,0)</x:f>
        <x:v>0.5636363636363636</x:v>
      </x:c>
    </x:row>
    <x:row r="196" ht="15" hidden="0" customHeight="1">
      <x:c r="A196" t="str">
        <x:f>Raw_Orders!A196</x:f>
        <x:v>O0195</x:v>
      </x:c>
      <x:c r="B196" s="10" t="n">
        <x:f>Raw_Orders!B196</x:f>
        <x:v>45802</x:v>
      </x:c>
      <x:c r="C196" t="str">
        <x:f>Raw_Orders!C196</x:f>
        <x:v>C039</x:v>
      </x:c>
      <x:c r="D196" t="str">
        <x:f>INDEX(Customers!$B$2:$B$81,MATCH(C196,Customers!$A$2:$A$81,0))</x:f>
        <x:v>Customer 39</x:v>
      </x:c>
      <x:c r="E196" t="str">
        <x:f>INDEX(Customers!$C$2:$C$81,MATCH(C196,Customers!$A$2:$A$81,0))</x:f>
        <x:v>Small Business</x:v>
      </x:c>
      <x:c r="F196" t="str">
        <x:f>INDEX(Customers!$D$2:$D$81,MATCH(C196,Customers!$A$2:$A$81,0))</x:f>
        <x:v>East</x:v>
      </x:c>
      <x:c r="G196" t="str">
        <x:f>Raw_Orders!D196</x:f>
        <x:v>P010</x:v>
      </x:c>
      <x:c r="H196" t="str">
        <x:f>INDEX(Products!$B$2:$B$13,MATCH(G196,Products!$A$2:$A$13,0))</x:f>
        <x:v>Portable SSD</x:v>
      </x:c>
      <x:c r="I196" t="str">
        <x:f>INDEX(Products!$C$2:$C$13,MATCH(G196,Products!$A$2:$A$13,0))</x:f>
        <x:v>Storage</x:v>
      </x:c>
      <x:c r="J196" t="str">
        <x:f>Raw_Orders!G196</x:f>
        <x:v>Retail</x:v>
      </x:c>
      <x:c r="K196" t="n">
        <x:f>Raw_Orders!E196</x:f>
        <x:v>5</x:v>
      </x:c>
      <x:c r="L196" s="12" t="n">
        <x:f>Raw_Orders!F196</x:f>
        <x:v>0.15</x:v>
      </x:c>
      <x:c r="M196" s="14" t="n">
        <x:f>INDEX(Products!$D$2:$D$13,MATCH(G196,Products!$A$2:$A$13,0))</x:f>
        <x:v>145</x:v>
      </x:c>
      <x:c r="N196" s="14" t="n">
        <x:f>INDEX(Products!$E$2:$E$13,MATCH(G196,Products!$A$2:$A$13,0))</x:f>
        <x:v>86</x:v>
      </x:c>
      <x:c r="O196" s="14" t="n">
        <x:f>K196*M196</x:f>
        <x:v>725</x:v>
      </x:c>
      <x:c r="P196" s="14" t="n">
        <x:f>O196*(1-L196)</x:f>
        <x:v>616.25</x:v>
      </x:c>
      <x:c r="Q196" s="14" t="n">
        <x:f>K196*N196</x:f>
        <x:v>430</x:v>
      </x:c>
      <x:c r="R196" s="14" t="n">
        <x:f>P196-Q196</x:f>
        <x:v>186.25</x:v>
      </x:c>
      <x:c r="S196" s="16" t="n">
        <x:f>IFERROR(R196/P196,0)</x:f>
        <x:v>0.3022312373225152</x:v>
      </x:c>
    </x:row>
    <x:row r="197" ht="15" hidden="0" customHeight="1">
      <x:c r="A197" t="str">
        <x:f>Raw_Orders!A197</x:f>
        <x:v>O0196</x:v>
      </x:c>
      <x:c r="B197" s="10" t="n">
        <x:f>Raw_Orders!B197</x:f>
        <x:v>45734</x:v>
      </x:c>
      <x:c r="C197" t="str">
        <x:f>Raw_Orders!C197</x:f>
        <x:v>C058</x:v>
      </x:c>
      <x:c r="D197" t="str">
        <x:f>INDEX(Customers!$B$2:$B$81,MATCH(C197,Customers!$A$2:$A$81,0))</x:f>
        <x:v>Customer 58</x:v>
      </x:c>
      <x:c r="E197" t="str">
        <x:f>INDEX(Customers!$C$2:$C$81,MATCH(C197,Customers!$A$2:$A$81,0))</x:f>
        <x:v>Consumer</x:v>
      </x:c>
      <x:c r="F197" t="str">
        <x:f>INDEX(Customers!$D$2:$D$81,MATCH(C197,Customers!$A$2:$A$81,0))</x:f>
        <x:v>South</x:v>
      </x:c>
      <x:c r="G197" t="str">
        <x:f>Raw_Orders!D197</x:f>
        <x:v>P009</x:v>
      </x:c>
      <x:c r="H197" t="str">
        <x:f>INDEX(Products!$B$2:$B$13,MATCH(G197,Products!$A$2:$A$13,0))</x:f>
        <x:v>Desk Lamp</x:v>
      </x:c>
      <x:c r="I197" t="str">
        <x:f>INDEX(Products!$C$2:$C$13,MATCH(G197,Products!$A$2:$A$13,0))</x:f>
        <x:v>Office</x:v>
      </x:c>
      <x:c r="J197" t="str">
        <x:f>Raw_Orders!G197</x:f>
        <x:v>Retail</x:v>
      </x:c>
      <x:c r="K197" t="n">
        <x:f>Raw_Orders!E197</x:f>
        <x:v>4</x:v>
      </x:c>
      <x:c r="L197" s="12" t="n">
        <x:f>Raw_Orders!F197</x:f>
        <x:v>0</x:v>
      </x:c>
      <x:c r="M197" s="14" t="n">
        <x:f>INDEX(Products!$D$2:$D$13,MATCH(G197,Products!$A$2:$A$13,0))</x:f>
        <x:v>70</x:v>
      </x:c>
      <x:c r="N197" s="14" t="n">
        <x:f>INDEX(Products!$E$2:$E$13,MATCH(G197,Products!$A$2:$A$13,0))</x:f>
        <x:v>29</x:v>
      </x:c>
      <x:c r="O197" s="14" t="n">
        <x:f>K197*M197</x:f>
        <x:v>280</x:v>
      </x:c>
      <x:c r="P197" s="14" t="n">
        <x:f>O197*(1-L197)</x:f>
        <x:v>280</x:v>
      </x:c>
      <x:c r="Q197" s="14" t="n">
        <x:f>K197*N197</x:f>
        <x:v>116</x:v>
      </x:c>
      <x:c r="R197" s="14" t="n">
        <x:f>P197-Q197</x:f>
        <x:v>164</x:v>
      </x:c>
      <x:c r="S197" s="16" t="n">
        <x:f>IFERROR(R197/P197,0)</x:f>
        <x:v>0.5857142857142857</x:v>
      </x:c>
    </x:row>
    <x:row r="198" ht="15" hidden="0" customHeight="1">
      <x:c r="A198" t="str">
        <x:f>Raw_Orders!A198</x:f>
        <x:v>O0197</x:v>
      </x:c>
      <x:c r="B198" s="10" t="n">
        <x:f>Raw_Orders!B198</x:f>
        <x:v>45940</x:v>
      </x:c>
      <x:c r="C198" t="str">
        <x:f>Raw_Orders!C198</x:f>
        <x:v>C070</x:v>
      </x:c>
      <x:c r="D198" t="str">
        <x:f>INDEX(Customers!$B$2:$B$81,MATCH(C198,Customers!$A$2:$A$81,0))</x:f>
        <x:v>Customer 70</x:v>
      </x:c>
      <x:c r="E198" t="str">
        <x:f>INDEX(Customers!$C$2:$C$81,MATCH(C198,Customers!$A$2:$A$81,0))</x:f>
        <x:v>Consumer</x:v>
      </x:c>
      <x:c r="F198" t="str">
        <x:f>INDEX(Customers!$D$2:$D$81,MATCH(C198,Customers!$A$2:$A$81,0))</x:f>
        <x:v>South</x:v>
      </x:c>
      <x:c r="G198" t="str">
        <x:f>Raw_Orders!D198</x:f>
        <x:v>P007</x:v>
      </x:c>
      <x:c r="H198" t="str">
        <x:f>INDEX(Products!$B$2:$B$13,MATCH(G198,Products!$A$2:$A$13,0))</x:f>
        <x:v>Ergonomic Chair</x:v>
      </x:c>
      <x:c r="I198" t="str">
        <x:f>INDEX(Products!$C$2:$C$13,MATCH(G198,Products!$A$2:$A$13,0))</x:f>
        <x:v>Office</x:v>
      </x:c>
      <x:c r="J198" t="str">
        <x:f>Raw_Orders!G198</x:f>
        <x:v>Online</x:v>
      </x:c>
      <x:c r="K198" t="n">
        <x:f>Raw_Orders!E198</x:f>
        <x:v>4</x:v>
      </x:c>
      <x:c r="L198" s="12" t="n">
        <x:f>Raw_Orders!F198</x:f>
        <x:v>0</x:v>
      </x:c>
      <x:c r="M198" s="14" t="n">
        <x:f>INDEX(Products!$D$2:$D$13,MATCH(G198,Products!$A$2:$A$13,0))</x:f>
        <x:v>390</x:v>
      </x:c>
      <x:c r="N198" s="14" t="n">
        <x:f>INDEX(Products!$E$2:$E$13,MATCH(G198,Products!$A$2:$A$13,0))</x:f>
        <x:v>245</x:v>
      </x:c>
      <x:c r="O198" s="14" t="n">
        <x:f>K198*M198</x:f>
        <x:v>1560</x:v>
      </x:c>
      <x:c r="P198" s="14" t="n">
        <x:f>O198*(1-L198)</x:f>
        <x:v>1560</x:v>
      </x:c>
      <x:c r="Q198" s="14" t="n">
        <x:f>K198*N198</x:f>
        <x:v>980</x:v>
      </x:c>
      <x:c r="R198" s="14" t="n">
        <x:f>P198-Q198</x:f>
        <x:v>580</x:v>
      </x:c>
      <x:c r="S198" s="16" t="n">
        <x:f>IFERROR(R198/P198,0)</x:f>
        <x:v>0.3717948717948718</x:v>
      </x:c>
    </x:row>
    <x:row r="199" ht="15" hidden="0" customHeight="1">
      <x:c r="A199" t="str">
        <x:f>Raw_Orders!A199</x:f>
        <x:v>O0198</x:v>
      </x:c>
      <x:c r="B199" s="10" t="n">
        <x:f>Raw_Orders!B199</x:f>
        <x:v>46015</x:v>
      </x:c>
      <x:c r="C199" t="str">
        <x:f>Raw_Orders!C199</x:f>
        <x:v>C031</x:v>
      </x:c>
      <x:c r="D199" t="str">
        <x:f>INDEX(Customers!$B$2:$B$81,MATCH(C199,Customers!$A$2:$A$81,0))</x:f>
        <x:v>Customer 31</x:v>
      </x:c>
      <x:c r="E199" t="str">
        <x:f>INDEX(Customers!$C$2:$C$81,MATCH(C199,Customers!$A$2:$A$81,0))</x:f>
        <x:v>Consumer</x:v>
      </x:c>
      <x:c r="F199" t="str">
        <x:f>INDEX(Customers!$D$2:$D$81,MATCH(C199,Customers!$A$2:$A$81,0))</x:f>
        <x:v>East</x:v>
      </x:c>
      <x:c r="G199" t="str">
        <x:f>Raw_Orders!D199</x:f>
        <x:v>P010</x:v>
      </x:c>
      <x:c r="H199" t="str">
        <x:f>INDEX(Products!$B$2:$B$13,MATCH(G199,Products!$A$2:$A$13,0))</x:f>
        <x:v>Portable SSD</x:v>
      </x:c>
      <x:c r="I199" t="str">
        <x:f>INDEX(Products!$C$2:$C$13,MATCH(G199,Products!$A$2:$A$13,0))</x:f>
        <x:v>Storage</x:v>
      </x:c>
      <x:c r="J199" t="str">
        <x:f>Raw_Orders!G199</x:f>
        <x:v>Retail</x:v>
      </x:c>
      <x:c r="K199" t="n">
        <x:f>Raw_Orders!E199</x:f>
        <x:v>4</x:v>
      </x:c>
      <x:c r="L199" s="12" t="n">
        <x:f>Raw_Orders!F199</x:f>
        <x:v>0</x:v>
      </x:c>
      <x:c r="M199" s="14" t="n">
        <x:f>INDEX(Products!$D$2:$D$13,MATCH(G199,Products!$A$2:$A$13,0))</x:f>
        <x:v>145</x:v>
      </x:c>
      <x:c r="N199" s="14" t="n">
        <x:f>INDEX(Products!$E$2:$E$13,MATCH(G199,Products!$A$2:$A$13,0))</x:f>
        <x:v>86</x:v>
      </x:c>
      <x:c r="O199" s="14" t="n">
        <x:f>K199*M199</x:f>
        <x:v>580</x:v>
      </x:c>
      <x:c r="P199" s="14" t="n">
        <x:f>O199*(1-L199)</x:f>
        <x:v>580</x:v>
      </x:c>
      <x:c r="Q199" s="14" t="n">
        <x:f>K199*N199</x:f>
        <x:v>344</x:v>
      </x:c>
      <x:c r="R199" s="14" t="n">
        <x:f>P199-Q199</x:f>
        <x:v>236</x:v>
      </x:c>
      <x:c r="S199" s="16" t="n">
        <x:f>IFERROR(R199/P199,0)</x:f>
        <x:v>0.4068965517241379</x:v>
      </x:c>
    </x:row>
    <x:row r="200" ht="15" hidden="0" customHeight="1">
      <x:c r="A200" t="str">
        <x:f>Raw_Orders!A200</x:f>
        <x:v>O0199</x:v>
      </x:c>
      <x:c r="B200" s="10" t="n">
        <x:f>Raw_Orders!B200</x:f>
        <x:v>45680</x:v>
      </x:c>
      <x:c r="C200" t="str">
        <x:f>Raw_Orders!C200</x:f>
        <x:v>C041</x:v>
      </x:c>
      <x:c r="D200" t="str">
        <x:f>INDEX(Customers!$B$2:$B$81,MATCH(C200,Customers!$A$2:$A$81,0))</x:f>
        <x:v>Customer 41</x:v>
      </x:c>
      <x:c r="E200" t="str">
        <x:f>INDEX(Customers!$C$2:$C$81,MATCH(C200,Customers!$A$2:$A$81,0))</x:f>
        <x:v>Corporate</x:v>
      </x:c>
      <x:c r="F200" t="str">
        <x:f>INDEX(Customers!$D$2:$D$81,MATCH(C200,Customers!$A$2:$A$81,0))</x:f>
        <x:v>North</x:v>
      </x:c>
      <x:c r="G200" t="str">
        <x:f>Raw_Orders!D200</x:f>
        <x:v>P012</x:v>
      </x:c>
      <x:c r="H200" t="str">
        <x:f>INDEX(Products!$B$2:$B$13,MATCH(G200,Products!$A$2:$A$13,0))</x:f>
        <x:v>Docking Station</x:v>
      </x:c>
      <x:c r="I200" t="str">
        <x:f>INDEX(Products!$C$2:$C$13,MATCH(G200,Products!$A$2:$A$13,0))</x:f>
        <x:v>Accessories</x:v>
      </x:c>
      <x:c r="J200" t="str">
        <x:f>Raw_Orders!G200</x:f>
        <x:v>Retail</x:v>
      </x:c>
      <x:c r="K200" t="n">
        <x:f>Raw_Orders!E200</x:f>
        <x:v>4</x:v>
      </x:c>
      <x:c r="L200" s="12" t="n">
        <x:f>Raw_Orders!F200</x:f>
        <x:v>0.15</x:v>
      </x:c>
      <x:c r="M200" s="14" t="n">
        <x:f>INDEX(Products!$D$2:$D$13,MATCH(G200,Products!$A$2:$A$13,0))</x:f>
        <x:v>180</x:v>
      </x:c>
      <x:c r="N200" s="14" t="n">
        <x:f>INDEX(Products!$E$2:$E$13,MATCH(G200,Products!$A$2:$A$13,0))</x:f>
        <x:v>104</x:v>
      </x:c>
      <x:c r="O200" s="14" t="n">
        <x:f>K200*M200</x:f>
        <x:v>720</x:v>
      </x:c>
      <x:c r="P200" s="14" t="n">
        <x:f>O200*(1-L200)</x:f>
        <x:v>612</x:v>
      </x:c>
      <x:c r="Q200" s="14" t="n">
        <x:f>K200*N200</x:f>
        <x:v>416</x:v>
      </x:c>
      <x:c r="R200" s="14" t="n">
        <x:f>P200-Q200</x:f>
        <x:v>196</x:v>
      </x:c>
      <x:c r="S200" s="16" t="n">
        <x:f>IFERROR(R200/P200,0)</x:f>
        <x:v>0.3202614379084967</x:v>
      </x:c>
    </x:row>
    <x:row r="201" ht="15" hidden="0" customHeight="1">
      <x:c r="A201" t="str">
        <x:f>Raw_Orders!A201</x:f>
        <x:v>O0200</x:v>
      </x:c>
      <x:c r="B201" s="10" t="n">
        <x:f>Raw_Orders!B201</x:f>
        <x:v>45855</x:v>
      </x:c>
      <x:c r="C201" t="str">
        <x:f>Raw_Orders!C201</x:f>
        <x:v>C020</x:v>
      </x:c>
      <x:c r="D201" t="str">
        <x:f>INDEX(Customers!$B$2:$B$81,MATCH(C201,Customers!$A$2:$A$81,0))</x:f>
        <x:v>Customer 20</x:v>
      </x:c>
      <x:c r="E201" t="str">
        <x:f>INDEX(Customers!$C$2:$C$81,MATCH(C201,Customers!$A$2:$A$81,0))</x:f>
        <x:v>Corporate</x:v>
      </x:c>
      <x:c r="F201" t="str">
        <x:f>INDEX(Customers!$D$2:$D$81,MATCH(C201,Customers!$A$2:$A$81,0))</x:f>
        <x:v>West</x:v>
      </x:c>
      <x:c r="G201" t="str">
        <x:f>Raw_Orders!D201</x:f>
        <x:v>P008</x:v>
      </x:c>
      <x:c r="H201" t="str">
        <x:f>INDEX(Products!$B$2:$B$13,MATCH(G201,Products!$A$2:$A$13,0))</x:f>
        <x:v>Webcam</x:v>
      </x:c>
      <x:c r="I201" t="str">
        <x:f>INDEX(Products!$C$2:$C$13,MATCH(G201,Products!$A$2:$A$13,0))</x:f>
        <x:v>Accessories</x:v>
      </x:c>
      <x:c r="J201" t="str">
        <x:f>Raw_Orders!G201</x:f>
        <x:v>Partner</x:v>
      </x:c>
      <x:c r="K201" t="n">
        <x:f>Raw_Orders!E201</x:f>
        <x:v>1</x:v>
      </x:c>
      <x:c r="L201" s="12" t="n">
        <x:f>Raw_Orders!F201</x:f>
        <x:v>0</x:v>
      </x:c>
      <x:c r="M201" s="14" t="n">
        <x:f>INDEX(Products!$D$2:$D$13,MATCH(G201,Products!$A$2:$A$13,0))</x:f>
        <x:v>95</x:v>
      </x:c>
      <x:c r="N201" s="14" t="n">
        <x:f>INDEX(Products!$E$2:$E$13,MATCH(G201,Products!$A$2:$A$13,0))</x:f>
        <x:v>49</x:v>
      </x:c>
      <x:c r="O201" s="14" t="n">
        <x:f>K201*M201</x:f>
        <x:v>95</x:v>
      </x:c>
      <x:c r="P201" s="14" t="n">
        <x:f>O201*(1-L201)</x:f>
        <x:v>95</x:v>
      </x:c>
      <x:c r="Q201" s="14" t="n">
        <x:f>K201*N201</x:f>
        <x:v>49</x:v>
      </x:c>
      <x:c r="R201" s="14" t="n">
        <x:f>P201-Q201</x:f>
        <x:v>46</x:v>
      </x:c>
      <x:c r="S201" s="16" t="n">
        <x:f>IFERROR(R201/P201,0)</x:f>
        <x:v>0.4842105263157895</x:v>
      </x:c>
    </x:row>
    <x:row r="202" ht="15" hidden="0" customHeight="1">
      <x:c r="A202" t="str">
        <x:f>Raw_Orders!A202</x:f>
        <x:v>O0201</x:v>
      </x:c>
      <x:c r="B202" s="10" t="n">
        <x:f>Raw_Orders!B202</x:f>
        <x:v>45960</x:v>
      </x:c>
      <x:c r="C202" t="str">
        <x:f>Raw_Orders!C202</x:f>
        <x:v>C043</x:v>
      </x:c>
      <x:c r="D202" t="str">
        <x:f>INDEX(Customers!$B$2:$B$81,MATCH(C202,Customers!$A$2:$A$81,0))</x:f>
        <x:v>Customer 43</x:v>
      </x:c>
      <x:c r="E202" t="str">
        <x:f>INDEX(Customers!$C$2:$C$81,MATCH(C202,Customers!$A$2:$A$81,0))</x:f>
        <x:v>Consumer</x:v>
      </x:c>
      <x:c r="F202" t="str">
        <x:f>INDEX(Customers!$D$2:$D$81,MATCH(C202,Customers!$A$2:$A$81,0))</x:f>
        <x:v>East</x:v>
      </x:c>
      <x:c r="G202" t="str">
        <x:f>Raw_Orders!D202</x:f>
        <x:v>P002</x:v>
      </x:c>
      <x:c r="H202" t="str">
        <x:f>INDEX(Products!$B$2:$B$13,MATCH(G202,Products!$A$2:$A$13,0))</x:f>
        <x:v>Mechanical Keyboard</x:v>
      </x:c>
      <x:c r="I202" t="str">
        <x:f>INDEX(Products!$C$2:$C$13,MATCH(G202,Products!$A$2:$A$13,0))</x:f>
        <x:v>Accessories</x:v>
      </x:c>
      <x:c r="J202" t="str">
        <x:f>Raw_Orders!G202</x:f>
        <x:v>Partner</x:v>
      </x:c>
      <x:c r="K202" t="n">
        <x:f>Raw_Orders!E202</x:f>
        <x:v>4</x:v>
      </x:c>
      <x:c r="L202" s="12" t="n">
        <x:f>Raw_Orders!F202</x:f>
        <x:v>0</x:v>
      </x:c>
      <x:c r="M202" s="14" t="n">
        <x:f>INDEX(Products!$D$2:$D$13,MATCH(G202,Products!$A$2:$A$13,0))</x:f>
        <x:v>110</x:v>
      </x:c>
      <x:c r="N202" s="14" t="n">
        <x:f>INDEX(Products!$E$2:$E$13,MATCH(G202,Products!$A$2:$A$13,0))</x:f>
        <x:v>58</x:v>
      </x:c>
      <x:c r="O202" s="14" t="n">
        <x:f>K202*M202</x:f>
        <x:v>440</x:v>
      </x:c>
      <x:c r="P202" s="14" t="n">
        <x:f>O202*(1-L202)</x:f>
        <x:v>440</x:v>
      </x:c>
      <x:c r="Q202" s="14" t="n">
        <x:f>K202*N202</x:f>
        <x:v>232</x:v>
      </x:c>
      <x:c r="R202" s="14" t="n">
        <x:f>P202-Q202</x:f>
        <x:v>208</x:v>
      </x:c>
      <x:c r="S202" s="16" t="n">
        <x:f>IFERROR(R202/P202,0)</x:f>
        <x:v>0.4727272727272727</x:v>
      </x:c>
    </x:row>
    <x:row r="203" ht="15" hidden="0" customHeight="1">
      <x:c r="A203" t="str">
        <x:f>Raw_Orders!A203</x:f>
        <x:v>O0202</x:v>
      </x:c>
      <x:c r="B203" s="10" t="n">
        <x:f>Raw_Orders!B203</x:f>
        <x:v>45891</x:v>
      </x:c>
      <x:c r="C203" t="str">
        <x:f>Raw_Orders!C203</x:f>
        <x:v>C002</x:v>
      </x:c>
      <x:c r="D203" t="str">
        <x:f>INDEX(Customers!$B$2:$B$81,MATCH(C203,Customers!$A$2:$A$81,0))</x:f>
        <x:v>Customer 02</x:v>
      </x:c>
      <x:c r="E203" t="str">
        <x:f>INDEX(Customers!$C$2:$C$81,MATCH(C203,Customers!$A$2:$A$81,0))</x:f>
        <x:v>Corporate</x:v>
      </x:c>
      <x:c r="F203" t="str">
        <x:f>INDEX(Customers!$D$2:$D$81,MATCH(C203,Customers!$A$2:$A$81,0))</x:f>
        <x:v>South</x:v>
      </x:c>
      <x:c r="G203" t="str">
        <x:f>Raw_Orders!D203</x:f>
        <x:v>P012</x:v>
      </x:c>
      <x:c r="H203" t="str">
        <x:f>INDEX(Products!$B$2:$B$13,MATCH(G203,Products!$A$2:$A$13,0))</x:f>
        <x:v>Docking Station</x:v>
      </x:c>
      <x:c r="I203" t="str">
        <x:f>INDEX(Products!$C$2:$C$13,MATCH(G203,Products!$A$2:$A$13,0))</x:f>
        <x:v>Accessories</x:v>
      </x:c>
      <x:c r="J203" t="str">
        <x:f>Raw_Orders!G203</x:f>
        <x:v>Partner</x:v>
      </x:c>
      <x:c r="K203" t="n">
        <x:f>Raw_Orders!E203</x:f>
        <x:v>2</x:v>
      </x:c>
      <x:c r="L203" s="12" t="n">
        <x:f>Raw_Orders!F203</x:f>
        <x:v>0.05</x:v>
      </x:c>
      <x:c r="M203" s="14" t="n">
        <x:f>INDEX(Products!$D$2:$D$13,MATCH(G203,Products!$A$2:$A$13,0))</x:f>
        <x:v>180</x:v>
      </x:c>
      <x:c r="N203" s="14" t="n">
        <x:f>INDEX(Products!$E$2:$E$13,MATCH(G203,Products!$A$2:$A$13,0))</x:f>
        <x:v>104</x:v>
      </x:c>
      <x:c r="O203" s="14" t="n">
        <x:f>K203*M203</x:f>
        <x:v>360</x:v>
      </x:c>
      <x:c r="P203" s="14" t="n">
        <x:f>O203*(1-L203)</x:f>
        <x:v>342</x:v>
      </x:c>
      <x:c r="Q203" s="14" t="n">
        <x:f>K203*N203</x:f>
        <x:v>208</x:v>
      </x:c>
      <x:c r="R203" s="14" t="n">
        <x:f>P203-Q203</x:f>
        <x:v>134</x:v>
      </x:c>
      <x:c r="S203" s="16" t="n">
        <x:f>IFERROR(R203/P203,0)</x:f>
        <x:v>0.391812865497076</x:v>
      </x:c>
    </x:row>
    <x:row r="204" ht="15" hidden="0" customHeight="1">
      <x:c r="A204" t="str">
        <x:f>Raw_Orders!A204</x:f>
        <x:v>O0203</x:v>
      </x:c>
      <x:c r="B204" s="10" t="n">
        <x:f>Raw_Orders!B204</x:f>
        <x:v>45737</x:v>
      </x:c>
      <x:c r="C204" t="str">
        <x:f>Raw_Orders!C204</x:f>
        <x:v>C010</x:v>
      </x:c>
      <x:c r="D204" t="str">
        <x:f>INDEX(Customers!$B$2:$B$81,MATCH(C204,Customers!$A$2:$A$81,0))</x:f>
        <x:v>Customer 10</x:v>
      </x:c>
      <x:c r="E204" t="str">
        <x:f>INDEX(Customers!$C$2:$C$81,MATCH(C204,Customers!$A$2:$A$81,0))</x:f>
        <x:v>Consumer</x:v>
      </x:c>
      <x:c r="F204" t="str">
        <x:f>INDEX(Customers!$D$2:$D$81,MATCH(C204,Customers!$A$2:$A$81,0))</x:f>
        <x:v>South</x:v>
      </x:c>
      <x:c r="G204" t="str">
        <x:f>Raw_Orders!D204</x:f>
        <x:v>P008</x:v>
      </x:c>
      <x:c r="H204" t="str">
        <x:f>INDEX(Products!$B$2:$B$13,MATCH(G204,Products!$A$2:$A$13,0))</x:f>
        <x:v>Webcam</x:v>
      </x:c>
      <x:c r="I204" t="str">
        <x:f>INDEX(Products!$C$2:$C$13,MATCH(G204,Products!$A$2:$A$13,0))</x:f>
        <x:v>Accessories</x:v>
      </x:c>
      <x:c r="J204" t="str">
        <x:f>Raw_Orders!G204</x:f>
        <x:v>Partner</x:v>
      </x:c>
      <x:c r="K204" t="n">
        <x:f>Raw_Orders!E204</x:f>
        <x:v>3</x:v>
      </x:c>
      <x:c r="L204" s="12" t="n">
        <x:f>Raw_Orders!F204</x:f>
        <x:v>0</x:v>
      </x:c>
      <x:c r="M204" s="14" t="n">
        <x:f>INDEX(Products!$D$2:$D$13,MATCH(G204,Products!$A$2:$A$13,0))</x:f>
        <x:v>95</x:v>
      </x:c>
      <x:c r="N204" s="14" t="n">
        <x:f>INDEX(Products!$E$2:$E$13,MATCH(G204,Products!$A$2:$A$13,0))</x:f>
        <x:v>49</x:v>
      </x:c>
      <x:c r="O204" s="14" t="n">
        <x:f>K204*M204</x:f>
        <x:v>285</x:v>
      </x:c>
      <x:c r="P204" s="14" t="n">
        <x:f>O204*(1-L204)</x:f>
        <x:v>285</x:v>
      </x:c>
      <x:c r="Q204" s="14" t="n">
        <x:f>K204*N204</x:f>
        <x:v>147</x:v>
      </x:c>
      <x:c r="R204" s="14" t="n">
        <x:f>P204-Q204</x:f>
        <x:v>138</x:v>
      </x:c>
      <x:c r="S204" s="16" t="n">
        <x:f>IFERROR(R204/P204,0)</x:f>
        <x:v>0.4842105263157895</x:v>
      </x:c>
    </x:row>
    <x:row r="205" ht="15" hidden="0" customHeight="1">
      <x:c r="A205" t="str">
        <x:f>Raw_Orders!A205</x:f>
        <x:v>O0204</x:v>
      </x:c>
      <x:c r="B205" s="10" t="n">
        <x:f>Raw_Orders!B205</x:f>
        <x:v>46012</x:v>
      </x:c>
      <x:c r="C205" t="str">
        <x:f>Raw_Orders!C205</x:f>
        <x:v>C051</x:v>
      </x:c>
      <x:c r="D205" t="str">
        <x:f>INDEX(Customers!$B$2:$B$81,MATCH(C205,Customers!$A$2:$A$81,0))</x:f>
        <x:v>Customer 51</x:v>
      </x:c>
      <x:c r="E205" t="str">
        <x:f>INDEX(Customers!$C$2:$C$81,MATCH(C205,Customers!$A$2:$A$81,0))</x:f>
        <x:v>Small Business</x:v>
      </x:c>
      <x:c r="F205" t="str">
        <x:f>INDEX(Customers!$D$2:$D$81,MATCH(C205,Customers!$A$2:$A$81,0))</x:f>
        <x:v>East</x:v>
      </x:c>
      <x:c r="G205" t="str">
        <x:f>Raw_Orders!D205</x:f>
        <x:v>P011</x:v>
      </x:c>
      <x:c r="H205" t="str">
        <x:f>INDEX(Products!$B$2:$B$13,MATCH(G205,Products!$A$2:$A$13,0))</x:f>
        <x:v>External HDD</x:v>
      </x:c>
      <x:c r="I205" t="str">
        <x:f>INDEX(Products!$C$2:$C$13,MATCH(G205,Products!$A$2:$A$13,0))</x:f>
        <x:v>Storage</x:v>
      </x:c>
      <x:c r="J205" t="str">
        <x:f>Raw_Orders!G205</x:f>
        <x:v>Partner</x:v>
      </x:c>
      <x:c r="K205" t="n">
        <x:f>Raw_Orders!E205</x:f>
        <x:v>1</x:v>
      </x:c>
      <x:c r="L205" s="12" t="n">
        <x:f>Raw_Orders!F205</x:f>
        <x:v>0</x:v>
      </x:c>
      <x:c r="M205" s="14" t="n">
        <x:f>INDEX(Products!$D$2:$D$13,MATCH(G205,Products!$A$2:$A$13,0))</x:f>
        <x:v>120</x:v>
      </x:c>
      <x:c r="N205" s="14" t="n">
        <x:f>INDEX(Products!$E$2:$E$13,MATCH(G205,Products!$A$2:$A$13,0))</x:f>
        <x:v>72</x:v>
      </x:c>
      <x:c r="O205" s="14" t="n">
        <x:f>K205*M205</x:f>
        <x:v>120</x:v>
      </x:c>
      <x:c r="P205" s="14" t="n">
        <x:f>O205*(1-L205)</x:f>
        <x:v>120</x:v>
      </x:c>
      <x:c r="Q205" s="14" t="n">
        <x:f>K205*N205</x:f>
        <x:v>72</x:v>
      </x:c>
      <x:c r="R205" s="14" t="n">
        <x:f>P205-Q205</x:f>
        <x:v>48</x:v>
      </x:c>
      <x:c r="S205" s="16" t="n">
        <x:f>IFERROR(R205/P205,0)</x:f>
        <x:v>0.4</x:v>
      </x:c>
    </x:row>
    <x:row r="206" ht="15" hidden="0" customHeight="1">
      <x:c r="A206" t="str">
        <x:f>Raw_Orders!A206</x:f>
        <x:v>O0205</x:v>
      </x:c>
      <x:c r="B206" s="10" t="n">
        <x:f>Raw_Orders!B206</x:f>
        <x:v>45931</x:v>
      </x:c>
      <x:c r="C206" t="str">
        <x:f>Raw_Orders!C206</x:f>
        <x:v>C049</x:v>
      </x:c>
      <x:c r="D206" t="str">
        <x:f>INDEX(Customers!$B$2:$B$81,MATCH(C206,Customers!$A$2:$A$81,0))</x:f>
        <x:v>Customer 49</x:v>
      </x:c>
      <x:c r="E206" t="str">
        <x:f>INDEX(Customers!$C$2:$C$81,MATCH(C206,Customers!$A$2:$A$81,0))</x:f>
        <x:v>Consumer</x:v>
      </x:c>
      <x:c r="F206" t="str">
        <x:f>INDEX(Customers!$D$2:$D$81,MATCH(C206,Customers!$A$2:$A$81,0))</x:f>
        <x:v>North</x:v>
      </x:c>
      <x:c r="G206" t="str">
        <x:f>Raw_Orders!D206</x:f>
        <x:v>P006</x:v>
      </x:c>
      <x:c r="H206" t="str">
        <x:f>INDEX(Products!$B$2:$B$13,MATCH(G206,Products!$A$2:$A$13,0))</x:f>
        <x:v>Laptop Stand</x:v>
      </x:c>
      <x:c r="I206" t="str">
        <x:f>INDEX(Products!$C$2:$C$13,MATCH(G206,Products!$A$2:$A$13,0))</x:f>
        <x:v>Office</x:v>
      </x:c>
      <x:c r="J206" t="str">
        <x:f>Raw_Orders!G206</x:f>
        <x:v>Retail</x:v>
      </x:c>
      <x:c r="K206" t="n">
        <x:f>Raw_Orders!E206</x:f>
        <x:v>6</x:v>
      </x:c>
      <x:c r="L206" s="12" t="n">
        <x:f>Raw_Orders!F206</x:f>
        <x:v>0.15</x:v>
      </x:c>
      <x:c r="M206" s="14" t="n">
        <x:f>INDEX(Products!$D$2:$D$13,MATCH(G206,Products!$A$2:$A$13,0))</x:f>
        <x:v>55</x:v>
      </x:c>
      <x:c r="N206" s="14" t="n">
        <x:f>INDEX(Products!$E$2:$E$13,MATCH(G206,Products!$A$2:$A$13,0))</x:f>
        <x:v>24</x:v>
      </x:c>
      <x:c r="O206" s="14" t="n">
        <x:f>K206*M206</x:f>
        <x:v>330</x:v>
      </x:c>
      <x:c r="P206" s="14" t="n">
        <x:f>O206*(1-L206)</x:f>
        <x:v>280.5</x:v>
      </x:c>
      <x:c r="Q206" s="14" t="n">
        <x:f>K206*N206</x:f>
        <x:v>144</x:v>
      </x:c>
      <x:c r="R206" s="14" t="n">
        <x:f>P206-Q206</x:f>
        <x:v>136.5</x:v>
      </x:c>
      <x:c r="S206" s="16" t="n">
        <x:f>IFERROR(R206/P206,0)</x:f>
        <x:v>0.48663101604278075</x:v>
      </x:c>
    </x:row>
    <x:row r="207" ht="15" hidden="0" customHeight="1">
      <x:c r="A207" t="str">
        <x:f>Raw_Orders!A207</x:f>
        <x:v>O0206</x:v>
      </x:c>
      <x:c r="B207" s="10" t="n">
        <x:f>Raw_Orders!B207</x:f>
        <x:v>45935</x:v>
      </x:c>
      <x:c r="C207" t="str">
        <x:f>Raw_Orders!C207</x:f>
        <x:v>C005</x:v>
      </x:c>
      <x:c r="D207" t="str">
        <x:f>INDEX(Customers!$B$2:$B$81,MATCH(C207,Customers!$A$2:$A$81,0))</x:f>
        <x:v>Customer 05</x:v>
      </x:c>
      <x:c r="E207" t="str">
        <x:f>INDEX(Customers!$C$2:$C$81,MATCH(C207,Customers!$A$2:$A$81,0))</x:f>
        <x:v>Corporate</x:v>
      </x:c>
      <x:c r="F207" t="str">
        <x:f>INDEX(Customers!$D$2:$D$81,MATCH(C207,Customers!$A$2:$A$81,0))</x:f>
        <x:v>North</x:v>
      </x:c>
      <x:c r="G207" t="str">
        <x:f>Raw_Orders!D207</x:f>
        <x:v>P010</x:v>
      </x:c>
      <x:c r="H207" t="str">
        <x:f>INDEX(Products!$B$2:$B$13,MATCH(G207,Products!$A$2:$A$13,0))</x:f>
        <x:v>Portable SSD</x:v>
      </x:c>
      <x:c r="I207" t="str">
        <x:f>INDEX(Products!$C$2:$C$13,MATCH(G207,Products!$A$2:$A$13,0))</x:f>
        <x:v>Storage</x:v>
      </x:c>
      <x:c r="J207" t="str">
        <x:f>Raw_Orders!G207</x:f>
        <x:v>Partner</x:v>
      </x:c>
      <x:c r="K207" t="n">
        <x:f>Raw_Orders!E207</x:f>
        <x:v>1</x:v>
      </x:c>
      <x:c r="L207" s="12" t="n">
        <x:f>Raw_Orders!F207</x:f>
        <x:v>0</x:v>
      </x:c>
      <x:c r="M207" s="14" t="n">
        <x:f>INDEX(Products!$D$2:$D$13,MATCH(G207,Products!$A$2:$A$13,0))</x:f>
        <x:v>145</x:v>
      </x:c>
      <x:c r="N207" s="14" t="n">
        <x:f>INDEX(Products!$E$2:$E$13,MATCH(G207,Products!$A$2:$A$13,0))</x:f>
        <x:v>86</x:v>
      </x:c>
      <x:c r="O207" s="14" t="n">
        <x:f>K207*M207</x:f>
        <x:v>145</x:v>
      </x:c>
      <x:c r="P207" s="14" t="n">
        <x:f>O207*(1-L207)</x:f>
        <x:v>145</x:v>
      </x:c>
      <x:c r="Q207" s="14" t="n">
        <x:f>K207*N207</x:f>
        <x:v>86</x:v>
      </x:c>
      <x:c r="R207" s="14" t="n">
        <x:f>P207-Q207</x:f>
        <x:v>59</x:v>
      </x:c>
      <x:c r="S207" s="16" t="n">
        <x:f>IFERROR(R207/P207,0)</x:f>
        <x:v>0.4068965517241379</x:v>
      </x:c>
    </x:row>
    <x:row r="208" ht="15" hidden="0" customHeight="1">
      <x:c r="A208" t="str">
        <x:f>Raw_Orders!A208</x:f>
        <x:v>O0207</x:v>
      </x:c>
      <x:c r="B208" s="10" t="n">
        <x:f>Raw_Orders!B208</x:f>
        <x:v>46008</x:v>
      </x:c>
      <x:c r="C208" t="str">
        <x:f>Raw_Orders!C208</x:f>
        <x:v>C037</x:v>
      </x:c>
      <x:c r="D208" t="str">
        <x:f>INDEX(Customers!$B$2:$B$81,MATCH(C208,Customers!$A$2:$A$81,0))</x:f>
        <x:v>Customer 37</x:v>
      </x:c>
      <x:c r="E208" t="str">
        <x:f>INDEX(Customers!$C$2:$C$81,MATCH(C208,Customers!$A$2:$A$81,0))</x:f>
        <x:v>Consumer</x:v>
      </x:c>
      <x:c r="F208" t="str">
        <x:f>INDEX(Customers!$D$2:$D$81,MATCH(C208,Customers!$A$2:$A$81,0))</x:f>
        <x:v>North</x:v>
      </x:c>
      <x:c r="G208" t="str">
        <x:f>Raw_Orders!D208</x:f>
        <x:v>P004</x:v>
      </x:c>
      <x:c r="H208" t="str">
        <x:f>INDEX(Products!$B$2:$B$13,MATCH(G208,Products!$A$2:$A$13,0))</x:f>
        <x:v>24in Monitor</x:v>
      </x:c>
      <x:c r="I208" t="str">
        <x:f>INDEX(Products!$C$2:$C$13,MATCH(G208,Products!$A$2:$A$13,0))</x:f>
        <x:v>Displays</x:v>
      </x:c>
      <x:c r="J208" t="str">
        <x:f>Raw_Orders!G208</x:f>
        <x:v>Retail</x:v>
      </x:c>
      <x:c r="K208" t="n">
        <x:f>Raw_Orders!E208</x:f>
        <x:v>6</x:v>
      </x:c>
      <x:c r="L208" s="12" t="n">
        <x:f>Raw_Orders!F208</x:f>
        <x:v>0</x:v>
      </x:c>
      <x:c r="M208" s="14" t="n">
        <x:f>INDEX(Products!$D$2:$D$13,MATCH(G208,Products!$A$2:$A$13,0))</x:f>
        <x:v>220</x:v>
      </x:c>
      <x:c r="N208" s="14" t="n">
        <x:f>INDEX(Products!$E$2:$E$13,MATCH(G208,Products!$A$2:$A$13,0))</x:f>
        <x:v>142</x:v>
      </x:c>
      <x:c r="O208" s="14" t="n">
        <x:f>K208*M208</x:f>
        <x:v>1320</x:v>
      </x:c>
      <x:c r="P208" s="14" t="n">
        <x:f>O208*(1-L208)</x:f>
        <x:v>1320</x:v>
      </x:c>
      <x:c r="Q208" s="14" t="n">
        <x:f>K208*N208</x:f>
        <x:v>852</x:v>
      </x:c>
      <x:c r="R208" s="14" t="n">
        <x:f>P208-Q208</x:f>
        <x:v>468</x:v>
      </x:c>
      <x:c r="S208" s="16" t="n">
        <x:f>IFERROR(R208/P208,0)</x:f>
        <x:v>0.35454545454545455</x:v>
      </x:c>
    </x:row>
    <x:row r="209" ht="15" hidden="0" customHeight="1">
      <x:c r="A209" t="str">
        <x:f>Raw_Orders!A209</x:f>
        <x:v>O0208</x:v>
      </x:c>
      <x:c r="B209" s="10" t="n">
        <x:f>Raw_Orders!B209</x:f>
        <x:v>45708</x:v>
      </x:c>
      <x:c r="C209" t="str">
        <x:f>Raw_Orders!C209</x:f>
        <x:v>C013</x:v>
      </x:c>
      <x:c r="D209" t="str">
        <x:f>INDEX(Customers!$B$2:$B$81,MATCH(C209,Customers!$A$2:$A$81,0))</x:f>
        <x:v>Customer 13</x:v>
      </x:c>
      <x:c r="E209" t="str">
        <x:f>INDEX(Customers!$C$2:$C$81,MATCH(C209,Customers!$A$2:$A$81,0))</x:f>
        <x:v>Consumer</x:v>
      </x:c>
      <x:c r="F209" t="str">
        <x:f>INDEX(Customers!$D$2:$D$81,MATCH(C209,Customers!$A$2:$A$81,0))</x:f>
        <x:v>North</x:v>
      </x:c>
      <x:c r="G209" t="str">
        <x:f>Raw_Orders!D209</x:f>
        <x:v>P008</x:v>
      </x:c>
      <x:c r="H209" t="str">
        <x:f>INDEX(Products!$B$2:$B$13,MATCH(G209,Products!$A$2:$A$13,0))</x:f>
        <x:v>Webcam</x:v>
      </x:c>
      <x:c r="I209" t="str">
        <x:f>INDEX(Products!$C$2:$C$13,MATCH(G209,Products!$A$2:$A$13,0))</x:f>
        <x:v>Accessories</x:v>
      </x:c>
      <x:c r="J209" t="str">
        <x:f>Raw_Orders!G209</x:f>
        <x:v>Retail</x:v>
      </x:c>
      <x:c r="K209" t="n">
        <x:f>Raw_Orders!E209</x:f>
        <x:v>2</x:v>
      </x:c>
      <x:c r="L209" s="12" t="n">
        <x:f>Raw_Orders!F209</x:f>
        <x:v>0.15</x:v>
      </x:c>
      <x:c r="M209" s="14" t="n">
        <x:f>INDEX(Products!$D$2:$D$13,MATCH(G209,Products!$A$2:$A$13,0))</x:f>
        <x:v>95</x:v>
      </x:c>
      <x:c r="N209" s="14" t="n">
        <x:f>INDEX(Products!$E$2:$E$13,MATCH(G209,Products!$A$2:$A$13,0))</x:f>
        <x:v>49</x:v>
      </x:c>
      <x:c r="O209" s="14" t="n">
        <x:f>K209*M209</x:f>
        <x:v>190</x:v>
      </x:c>
      <x:c r="P209" s="14" t="n">
        <x:f>O209*(1-L209)</x:f>
        <x:v>161.5</x:v>
      </x:c>
      <x:c r="Q209" s="14" t="n">
        <x:f>K209*N209</x:f>
        <x:v>98</x:v>
      </x:c>
      <x:c r="R209" s="14" t="n">
        <x:f>P209-Q209</x:f>
        <x:v>63.5</x:v>
      </x:c>
      <x:c r="S209" s="16" t="n">
        <x:f>IFERROR(R209/P209,0)</x:f>
        <x:v>0.3931888544891641</x:v>
      </x:c>
    </x:row>
    <x:row r="210" ht="15" hidden="0" customHeight="1">
      <x:c r="A210" t="str">
        <x:f>Raw_Orders!A210</x:f>
        <x:v>O0209</x:v>
      </x:c>
      <x:c r="B210" s="10" t="n">
        <x:f>Raw_Orders!B210</x:f>
        <x:v>45672</x:v>
      </x:c>
      <x:c r="C210" t="str">
        <x:f>Raw_Orders!C210</x:f>
        <x:v>C006</x:v>
      </x:c>
      <x:c r="D210" t="str">
        <x:f>INDEX(Customers!$B$2:$B$81,MATCH(C210,Customers!$A$2:$A$81,0))</x:f>
        <x:v>Customer 06</x:v>
      </x:c>
      <x:c r="E210" t="str">
        <x:f>INDEX(Customers!$C$2:$C$81,MATCH(C210,Customers!$A$2:$A$81,0))</x:f>
        <x:v>Small Business</x:v>
      </x:c>
      <x:c r="F210" t="str">
        <x:f>INDEX(Customers!$D$2:$D$81,MATCH(C210,Customers!$A$2:$A$81,0))</x:f>
        <x:v>South</x:v>
      </x:c>
      <x:c r="G210" t="str">
        <x:f>Raw_Orders!D210</x:f>
        <x:v>P006</x:v>
      </x:c>
      <x:c r="H210" t="str">
        <x:f>INDEX(Products!$B$2:$B$13,MATCH(G210,Products!$A$2:$A$13,0))</x:f>
        <x:v>Laptop Stand</x:v>
      </x:c>
      <x:c r="I210" t="str">
        <x:f>INDEX(Products!$C$2:$C$13,MATCH(G210,Products!$A$2:$A$13,0))</x:f>
        <x:v>Office</x:v>
      </x:c>
      <x:c r="J210" t="str">
        <x:f>Raw_Orders!G210</x:f>
        <x:v>Retail</x:v>
      </x:c>
      <x:c r="K210" t="n">
        <x:f>Raw_Orders!E210</x:f>
        <x:v>1</x:v>
      </x:c>
      <x:c r="L210" s="12" t="n">
        <x:f>Raw_Orders!F210</x:f>
        <x:v>0</x:v>
      </x:c>
      <x:c r="M210" s="14" t="n">
        <x:f>INDEX(Products!$D$2:$D$13,MATCH(G210,Products!$A$2:$A$13,0))</x:f>
        <x:v>55</x:v>
      </x:c>
      <x:c r="N210" s="14" t="n">
        <x:f>INDEX(Products!$E$2:$E$13,MATCH(G210,Products!$A$2:$A$13,0))</x:f>
        <x:v>24</x:v>
      </x:c>
      <x:c r="O210" s="14" t="n">
        <x:f>K210*M210</x:f>
        <x:v>55</x:v>
      </x:c>
      <x:c r="P210" s="14" t="n">
        <x:f>O210*(1-L210)</x:f>
        <x:v>55</x:v>
      </x:c>
      <x:c r="Q210" s="14" t="n">
        <x:f>K210*N210</x:f>
        <x:v>24</x:v>
      </x:c>
      <x:c r="R210" s="14" t="n">
        <x:f>P210-Q210</x:f>
        <x:v>31</x:v>
      </x:c>
      <x:c r="S210" s="16" t="n">
        <x:f>IFERROR(R210/P210,0)</x:f>
        <x:v>0.5636363636363636</x:v>
      </x:c>
    </x:row>
    <x:row r="211" ht="15" hidden="0" customHeight="1">
      <x:c r="A211" t="str">
        <x:f>Raw_Orders!A211</x:f>
        <x:v>O0210</x:v>
      </x:c>
      <x:c r="B211" s="10" t="n">
        <x:f>Raw_Orders!B211</x:f>
        <x:v>45849</x:v>
      </x:c>
      <x:c r="C211" t="str">
        <x:f>Raw_Orders!C211</x:f>
        <x:v>C056</x:v>
      </x:c>
      <x:c r="D211" t="str">
        <x:f>INDEX(Customers!$B$2:$B$81,MATCH(C211,Customers!$A$2:$A$81,0))</x:f>
        <x:v>Customer 56</x:v>
      </x:c>
      <x:c r="E211" t="str">
        <x:f>INDEX(Customers!$C$2:$C$81,MATCH(C211,Customers!$A$2:$A$81,0))</x:f>
        <x:v>Corporate</x:v>
      </x:c>
      <x:c r="F211" t="str">
        <x:f>INDEX(Customers!$D$2:$D$81,MATCH(C211,Customers!$A$2:$A$81,0))</x:f>
        <x:v>West</x:v>
      </x:c>
      <x:c r="G211" t="str">
        <x:f>Raw_Orders!D211</x:f>
        <x:v>P003</x:v>
      </x:c>
      <x:c r="H211" t="str">
        <x:f>INDEX(Products!$B$2:$B$13,MATCH(G211,Products!$A$2:$A$13,0))</x:f>
        <x:v>USB-C Hub</x:v>
      </x:c>
      <x:c r="I211" t="str">
        <x:f>INDEX(Products!$C$2:$C$13,MATCH(G211,Products!$A$2:$A$13,0))</x:f>
        <x:v>Accessories</x:v>
      </x:c>
      <x:c r="J211" t="str">
        <x:f>Raw_Orders!G211</x:f>
        <x:v>Retail</x:v>
      </x:c>
      <x:c r="K211" t="n">
        <x:f>Raw_Orders!E211</x:f>
        <x:v>2</x:v>
      </x:c>
      <x:c r="L211" s="12" t="n">
        <x:f>Raw_Orders!F211</x:f>
        <x:v>0.1</x:v>
      </x:c>
      <x:c r="M211" s="14" t="n">
        <x:f>INDEX(Products!$D$2:$D$13,MATCH(G211,Products!$A$2:$A$13,0))</x:f>
        <x:v>65</x:v>
      </x:c>
      <x:c r="N211" s="14" t="n">
        <x:f>INDEX(Products!$E$2:$E$13,MATCH(G211,Products!$A$2:$A$13,0))</x:f>
        <x:v>31</x:v>
      </x:c>
      <x:c r="O211" s="14" t="n">
        <x:f>K211*M211</x:f>
        <x:v>130</x:v>
      </x:c>
      <x:c r="P211" s="14" t="n">
        <x:f>O211*(1-L211)</x:f>
        <x:v>117</x:v>
      </x:c>
      <x:c r="Q211" s="14" t="n">
        <x:f>K211*N211</x:f>
        <x:v>62</x:v>
      </x:c>
      <x:c r="R211" s="14" t="n">
        <x:f>P211-Q211</x:f>
        <x:v>55</x:v>
      </x:c>
      <x:c r="S211" s="16" t="n">
        <x:f>IFERROR(R211/P211,0)</x:f>
        <x:v>0.4700854700854701</x:v>
      </x:c>
    </x:row>
    <x:row r="212" ht="15" hidden="0" customHeight="1">
      <x:c r="A212" t="str">
        <x:f>Raw_Orders!A212</x:f>
        <x:v>O0211</x:v>
      </x:c>
      <x:c r="B212" s="10" t="n">
        <x:f>Raw_Orders!B212</x:f>
        <x:v>45947</x:v>
      </x:c>
      <x:c r="C212" t="str">
        <x:f>Raw_Orders!C212</x:f>
        <x:v>C024</x:v>
      </x:c>
      <x:c r="D212" t="str">
        <x:f>INDEX(Customers!$B$2:$B$81,MATCH(C212,Customers!$A$2:$A$81,0))</x:f>
        <x:v>Customer 24</x:v>
      </x:c>
      <x:c r="E212" t="str">
        <x:f>INDEX(Customers!$C$2:$C$81,MATCH(C212,Customers!$A$2:$A$81,0))</x:f>
        <x:v>Small Business</x:v>
      </x:c>
      <x:c r="F212" t="str">
        <x:f>INDEX(Customers!$D$2:$D$81,MATCH(C212,Customers!$A$2:$A$81,0))</x:f>
        <x:v>West</x:v>
      </x:c>
      <x:c r="G212" t="str">
        <x:f>Raw_Orders!D212</x:f>
        <x:v>P003</x:v>
      </x:c>
      <x:c r="H212" t="str">
        <x:f>INDEX(Products!$B$2:$B$13,MATCH(G212,Products!$A$2:$A$13,0))</x:f>
        <x:v>USB-C Hub</x:v>
      </x:c>
      <x:c r="I212" t="str">
        <x:f>INDEX(Products!$C$2:$C$13,MATCH(G212,Products!$A$2:$A$13,0))</x:f>
        <x:v>Accessories</x:v>
      </x:c>
      <x:c r="J212" t="str">
        <x:f>Raw_Orders!G212</x:f>
        <x:v>Partner</x:v>
      </x:c>
      <x:c r="K212" t="n">
        <x:f>Raw_Orders!E212</x:f>
        <x:v>2</x:v>
      </x:c>
      <x:c r="L212" s="12" t="n">
        <x:f>Raw_Orders!F212</x:f>
        <x:v>0</x:v>
      </x:c>
      <x:c r="M212" s="14" t="n">
        <x:f>INDEX(Products!$D$2:$D$13,MATCH(G212,Products!$A$2:$A$13,0))</x:f>
        <x:v>65</x:v>
      </x:c>
      <x:c r="N212" s="14" t="n">
        <x:f>INDEX(Products!$E$2:$E$13,MATCH(G212,Products!$A$2:$A$13,0))</x:f>
        <x:v>31</x:v>
      </x:c>
      <x:c r="O212" s="14" t="n">
        <x:f>K212*M212</x:f>
        <x:v>130</x:v>
      </x:c>
      <x:c r="P212" s="14" t="n">
        <x:f>O212*(1-L212)</x:f>
        <x:v>130</x:v>
      </x:c>
      <x:c r="Q212" s="14" t="n">
        <x:f>K212*N212</x:f>
        <x:v>62</x:v>
      </x:c>
      <x:c r="R212" s="14" t="n">
        <x:f>P212-Q212</x:f>
        <x:v>68</x:v>
      </x:c>
      <x:c r="S212" s="16" t="n">
        <x:f>IFERROR(R212/P212,0)</x:f>
        <x:v>0.5230769230769231</x:v>
      </x:c>
    </x:row>
    <x:row r="213" ht="15" hidden="0" customHeight="1">
      <x:c r="A213" t="str">
        <x:f>Raw_Orders!A213</x:f>
        <x:v>O0212</x:v>
      </x:c>
      <x:c r="B213" s="10" t="n">
        <x:f>Raw_Orders!B213</x:f>
        <x:v>45853</x:v>
      </x:c>
      <x:c r="C213" t="str">
        <x:f>Raw_Orders!C213</x:f>
        <x:v>C080</x:v>
      </x:c>
      <x:c r="D213" t="str">
        <x:f>INDEX(Customers!$B$2:$B$81,MATCH(C213,Customers!$A$2:$A$81,0))</x:f>
        <x:v>Customer 80</x:v>
      </x:c>
      <x:c r="E213" t="str">
        <x:f>INDEX(Customers!$C$2:$C$81,MATCH(C213,Customers!$A$2:$A$81,0))</x:f>
        <x:v>Corporate</x:v>
      </x:c>
      <x:c r="F213" t="str">
        <x:f>INDEX(Customers!$D$2:$D$81,MATCH(C213,Customers!$A$2:$A$81,0))</x:f>
        <x:v>West</x:v>
      </x:c>
      <x:c r="G213" t="str">
        <x:f>Raw_Orders!D213</x:f>
        <x:v>P011</x:v>
      </x:c>
      <x:c r="H213" t="str">
        <x:f>INDEX(Products!$B$2:$B$13,MATCH(G213,Products!$A$2:$A$13,0))</x:f>
        <x:v>External HDD</x:v>
      </x:c>
      <x:c r="I213" t="str">
        <x:f>INDEX(Products!$C$2:$C$13,MATCH(G213,Products!$A$2:$A$13,0))</x:f>
        <x:v>Storage</x:v>
      </x:c>
      <x:c r="J213" t="str">
        <x:f>Raw_Orders!G213</x:f>
        <x:v>Partner</x:v>
      </x:c>
      <x:c r="K213" t="n">
        <x:f>Raw_Orders!E213</x:f>
        <x:v>2</x:v>
      </x:c>
      <x:c r="L213" s="12" t="n">
        <x:f>Raw_Orders!F213</x:f>
        <x:v>0.05</x:v>
      </x:c>
      <x:c r="M213" s="14" t="n">
        <x:f>INDEX(Products!$D$2:$D$13,MATCH(G213,Products!$A$2:$A$13,0))</x:f>
        <x:v>120</x:v>
      </x:c>
      <x:c r="N213" s="14" t="n">
        <x:f>INDEX(Products!$E$2:$E$13,MATCH(G213,Products!$A$2:$A$13,0))</x:f>
        <x:v>72</x:v>
      </x:c>
      <x:c r="O213" s="14" t="n">
        <x:f>K213*M213</x:f>
        <x:v>240</x:v>
      </x:c>
      <x:c r="P213" s="14" t="n">
        <x:f>O213*(1-L213)</x:f>
        <x:v>228</x:v>
      </x:c>
      <x:c r="Q213" s="14" t="n">
        <x:f>K213*N213</x:f>
        <x:v>144</x:v>
      </x:c>
      <x:c r="R213" s="14" t="n">
        <x:f>P213-Q213</x:f>
        <x:v>84</x:v>
      </x:c>
      <x:c r="S213" s="16" t="n">
        <x:f>IFERROR(R213/P213,0)</x:f>
        <x:v>0.3684210526315789</x:v>
      </x:c>
    </x:row>
    <x:row r="214" ht="15" hidden="0" customHeight="1">
      <x:c r="A214" t="str">
        <x:f>Raw_Orders!A214</x:f>
        <x:v>O0213</x:v>
      </x:c>
      <x:c r="B214" s="10" t="n">
        <x:f>Raw_Orders!B214</x:f>
        <x:v>45731</x:v>
      </x:c>
      <x:c r="C214" t="str">
        <x:f>Raw_Orders!C214</x:f>
        <x:v>C030</x:v>
      </x:c>
      <x:c r="D214" t="str">
        <x:f>INDEX(Customers!$B$2:$B$81,MATCH(C214,Customers!$A$2:$A$81,0))</x:f>
        <x:v>Customer 30</x:v>
      </x:c>
      <x:c r="E214" t="str">
        <x:f>INDEX(Customers!$C$2:$C$81,MATCH(C214,Customers!$A$2:$A$81,0))</x:f>
        <x:v>Small Business</x:v>
      </x:c>
      <x:c r="F214" t="str">
        <x:f>INDEX(Customers!$D$2:$D$81,MATCH(C214,Customers!$A$2:$A$81,0))</x:f>
        <x:v>South</x:v>
      </x:c>
      <x:c r="G214" t="str">
        <x:f>Raw_Orders!D214</x:f>
        <x:v>P008</x:v>
      </x:c>
      <x:c r="H214" t="str">
        <x:f>INDEX(Products!$B$2:$B$13,MATCH(G214,Products!$A$2:$A$13,0))</x:f>
        <x:v>Webcam</x:v>
      </x:c>
      <x:c r="I214" t="str">
        <x:f>INDEX(Products!$C$2:$C$13,MATCH(G214,Products!$A$2:$A$13,0))</x:f>
        <x:v>Accessories</x:v>
      </x:c>
      <x:c r="J214" t="str">
        <x:f>Raw_Orders!G214</x:f>
        <x:v>Retail</x:v>
      </x:c>
      <x:c r="K214" t="n">
        <x:f>Raw_Orders!E214</x:f>
        <x:v>6</x:v>
      </x:c>
      <x:c r="L214" s="12" t="n">
        <x:f>Raw_Orders!F214</x:f>
        <x:v>0</x:v>
      </x:c>
      <x:c r="M214" s="14" t="n">
        <x:f>INDEX(Products!$D$2:$D$13,MATCH(G214,Products!$A$2:$A$13,0))</x:f>
        <x:v>95</x:v>
      </x:c>
      <x:c r="N214" s="14" t="n">
        <x:f>INDEX(Products!$E$2:$E$13,MATCH(G214,Products!$A$2:$A$13,0))</x:f>
        <x:v>49</x:v>
      </x:c>
      <x:c r="O214" s="14" t="n">
        <x:f>K214*M214</x:f>
        <x:v>570</x:v>
      </x:c>
      <x:c r="P214" s="14" t="n">
        <x:f>O214*(1-L214)</x:f>
        <x:v>570</x:v>
      </x:c>
      <x:c r="Q214" s="14" t="n">
        <x:f>K214*N214</x:f>
        <x:v>294</x:v>
      </x:c>
      <x:c r="R214" s="14" t="n">
        <x:f>P214-Q214</x:f>
        <x:v>276</x:v>
      </x:c>
      <x:c r="S214" s="16" t="n">
        <x:f>IFERROR(R214/P214,0)</x:f>
        <x:v>0.4842105263157895</x:v>
      </x:c>
    </x:row>
    <x:row r="215" ht="15" hidden="0" customHeight="1">
      <x:c r="A215" t="str">
        <x:f>Raw_Orders!A215</x:f>
        <x:v>O0214</x:v>
      </x:c>
      <x:c r="B215" s="10" t="n">
        <x:f>Raw_Orders!B215</x:f>
        <x:v>45788</x:v>
      </x:c>
      <x:c r="C215" t="str">
        <x:f>Raw_Orders!C215</x:f>
        <x:v>C002</x:v>
      </x:c>
      <x:c r="D215" t="str">
        <x:f>INDEX(Customers!$B$2:$B$81,MATCH(C215,Customers!$A$2:$A$81,0))</x:f>
        <x:v>Customer 02</x:v>
      </x:c>
      <x:c r="E215" t="str">
        <x:f>INDEX(Customers!$C$2:$C$81,MATCH(C215,Customers!$A$2:$A$81,0))</x:f>
        <x:v>Corporate</x:v>
      </x:c>
      <x:c r="F215" t="str">
        <x:f>INDEX(Customers!$D$2:$D$81,MATCH(C215,Customers!$A$2:$A$81,0))</x:f>
        <x:v>South</x:v>
      </x:c>
      <x:c r="G215" t="str">
        <x:f>Raw_Orders!D215</x:f>
        <x:v>P008</x:v>
      </x:c>
      <x:c r="H215" t="str">
        <x:f>INDEX(Products!$B$2:$B$13,MATCH(G215,Products!$A$2:$A$13,0))</x:f>
        <x:v>Webcam</x:v>
      </x:c>
      <x:c r="I215" t="str">
        <x:f>INDEX(Products!$C$2:$C$13,MATCH(G215,Products!$A$2:$A$13,0))</x:f>
        <x:v>Accessories</x:v>
      </x:c>
      <x:c r="J215" t="str">
        <x:f>Raw_Orders!G215</x:f>
        <x:v>Partner</x:v>
      </x:c>
      <x:c r="K215" t="n">
        <x:f>Raw_Orders!E215</x:f>
        <x:v>3</x:v>
      </x:c>
      <x:c r="L215" s="12" t="n">
        <x:f>Raw_Orders!F215</x:f>
        <x:v>0.15</x:v>
      </x:c>
      <x:c r="M215" s="14" t="n">
        <x:f>INDEX(Products!$D$2:$D$13,MATCH(G215,Products!$A$2:$A$13,0))</x:f>
        <x:v>95</x:v>
      </x:c>
      <x:c r="N215" s="14" t="n">
        <x:f>INDEX(Products!$E$2:$E$13,MATCH(G215,Products!$A$2:$A$13,0))</x:f>
        <x:v>49</x:v>
      </x:c>
      <x:c r="O215" s="14" t="n">
        <x:f>K215*M215</x:f>
        <x:v>285</x:v>
      </x:c>
      <x:c r="P215" s="14" t="n">
        <x:f>O215*(1-L215)</x:f>
        <x:v>242.25</x:v>
      </x:c>
      <x:c r="Q215" s="14" t="n">
        <x:f>K215*N215</x:f>
        <x:v>147</x:v>
      </x:c>
      <x:c r="R215" s="14" t="n">
        <x:f>P215-Q215</x:f>
        <x:v>95.25</x:v>
      </x:c>
      <x:c r="S215" s="16" t="n">
        <x:f>IFERROR(R215/P215,0)</x:f>
        <x:v>0.3931888544891641</x:v>
      </x:c>
    </x:row>
    <x:row r="216" ht="15" hidden="0" customHeight="1">
      <x:c r="A216" t="str">
        <x:f>Raw_Orders!A216</x:f>
        <x:v>O0215</x:v>
      </x:c>
      <x:c r="B216" s="10" t="n">
        <x:f>Raw_Orders!B216</x:f>
        <x:v>45738</x:v>
      </x:c>
      <x:c r="C216" t="str">
        <x:f>Raw_Orders!C216</x:f>
        <x:v>C010</x:v>
      </x:c>
      <x:c r="D216" t="str">
        <x:f>INDEX(Customers!$B$2:$B$81,MATCH(C216,Customers!$A$2:$A$81,0))</x:f>
        <x:v>Customer 10</x:v>
      </x:c>
      <x:c r="E216" t="str">
        <x:f>INDEX(Customers!$C$2:$C$81,MATCH(C216,Customers!$A$2:$A$81,0))</x:f>
        <x:v>Consumer</x:v>
      </x:c>
      <x:c r="F216" t="str">
        <x:f>INDEX(Customers!$D$2:$D$81,MATCH(C216,Customers!$A$2:$A$81,0))</x:f>
        <x:v>South</x:v>
      </x:c>
      <x:c r="G216" t="str">
        <x:f>Raw_Orders!D216</x:f>
        <x:v>P008</x:v>
      </x:c>
      <x:c r="H216" t="str">
        <x:f>INDEX(Products!$B$2:$B$13,MATCH(G216,Products!$A$2:$A$13,0))</x:f>
        <x:v>Webcam</x:v>
      </x:c>
      <x:c r="I216" t="str">
        <x:f>INDEX(Products!$C$2:$C$13,MATCH(G216,Products!$A$2:$A$13,0))</x:f>
        <x:v>Accessories</x:v>
      </x:c>
      <x:c r="J216" t="str">
        <x:f>Raw_Orders!G216</x:f>
        <x:v>Retail</x:v>
      </x:c>
      <x:c r="K216" t="n">
        <x:f>Raw_Orders!E216</x:f>
        <x:v>3</x:v>
      </x:c>
      <x:c r="L216" s="12" t="n">
        <x:f>Raw_Orders!F216</x:f>
        <x:v>0.1</x:v>
      </x:c>
      <x:c r="M216" s="14" t="n">
        <x:f>INDEX(Products!$D$2:$D$13,MATCH(G216,Products!$A$2:$A$13,0))</x:f>
        <x:v>95</x:v>
      </x:c>
      <x:c r="N216" s="14" t="n">
        <x:f>INDEX(Products!$E$2:$E$13,MATCH(G216,Products!$A$2:$A$13,0))</x:f>
        <x:v>49</x:v>
      </x:c>
      <x:c r="O216" s="14" t="n">
        <x:f>K216*M216</x:f>
        <x:v>285</x:v>
      </x:c>
      <x:c r="P216" s="14" t="n">
        <x:f>O216*(1-L216)</x:f>
        <x:v>256.5</x:v>
      </x:c>
      <x:c r="Q216" s="14" t="n">
        <x:f>K216*N216</x:f>
        <x:v>147</x:v>
      </x:c>
      <x:c r="R216" s="14" t="n">
        <x:f>P216-Q216</x:f>
        <x:v>109.5</x:v>
      </x:c>
      <x:c r="S216" s="16" t="n">
        <x:f>IFERROR(R216/P216,0)</x:f>
        <x:v>0.4269005847953216</x:v>
      </x:c>
    </x:row>
    <x:row r="217" ht="15" hidden="0" customHeight="1">
      <x:c r="A217" t="str">
        <x:f>Raw_Orders!A217</x:f>
        <x:v>O0216</x:v>
      </x:c>
      <x:c r="B217" s="10" t="n">
        <x:f>Raw_Orders!B217</x:f>
        <x:v>45985</x:v>
      </x:c>
      <x:c r="C217" t="str">
        <x:f>Raw_Orders!C217</x:f>
        <x:v>C055</x:v>
      </x:c>
      <x:c r="D217" t="str">
        <x:f>INDEX(Customers!$B$2:$B$81,MATCH(C217,Customers!$A$2:$A$81,0))</x:f>
        <x:v>Customer 55</x:v>
      </x:c>
      <x:c r="E217" t="str">
        <x:f>INDEX(Customers!$C$2:$C$81,MATCH(C217,Customers!$A$2:$A$81,0))</x:f>
        <x:v>Consumer</x:v>
      </x:c>
      <x:c r="F217" t="str">
        <x:f>INDEX(Customers!$D$2:$D$81,MATCH(C217,Customers!$A$2:$A$81,0))</x:f>
        <x:v>East</x:v>
      </x:c>
      <x:c r="G217" t="str">
        <x:f>Raw_Orders!D217</x:f>
        <x:v>P012</x:v>
      </x:c>
      <x:c r="H217" t="str">
        <x:f>INDEX(Products!$B$2:$B$13,MATCH(G217,Products!$A$2:$A$13,0))</x:f>
        <x:v>Docking Station</x:v>
      </x:c>
      <x:c r="I217" t="str">
        <x:f>INDEX(Products!$C$2:$C$13,MATCH(G217,Products!$A$2:$A$13,0))</x:f>
        <x:v>Accessories</x:v>
      </x:c>
      <x:c r="J217" t="str">
        <x:f>Raw_Orders!G217</x:f>
        <x:v>Retail</x:v>
      </x:c>
      <x:c r="K217" t="n">
        <x:f>Raw_Orders!E217</x:f>
        <x:v>3</x:v>
      </x:c>
      <x:c r="L217" s="12" t="n">
        <x:f>Raw_Orders!F217</x:f>
        <x:v>0.05</x:v>
      </x:c>
      <x:c r="M217" s="14" t="n">
        <x:f>INDEX(Products!$D$2:$D$13,MATCH(G217,Products!$A$2:$A$13,0))</x:f>
        <x:v>180</x:v>
      </x:c>
      <x:c r="N217" s="14" t="n">
        <x:f>INDEX(Products!$E$2:$E$13,MATCH(G217,Products!$A$2:$A$13,0))</x:f>
        <x:v>104</x:v>
      </x:c>
      <x:c r="O217" s="14" t="n">
        <x:f>K217*M217</x:f>
        <x:v>540</x:v>
      </x:c>
      <x:c r="P217" s="14" t="n">
        <x:f>O217*(1-L217)</x:f>
        <x:v>513</x:v>
      </x:c>
      <x:c r="Q217" s="14" t="n">
        <x:f>K217*N217</x:f>
        <x:v>312</x:v>
      </x:c>
      <x:c r="R217" s="14" t="n">
        <x:f>P217-Q217</x:f>
        <x:v>201</x:v>
      </x:c>
      <x:c r="S217" s="16" t="n">
        <x:f>IFERROR(R217/P217,0)</x:f>
        <x:v>0.391812865497076</x:v>
      </x:c>
    </x:row>
    <x:row r="218" ht="15" hidden="0" customHeight="1">
      <x:c r="A218" t="str">
        <x:f>Raw_Orders!A218</x:f>
        <x:v>O0217</x:v>
      </x:c>
      <x:c r="B218" s="10" t="n">
        <x:f>Raw_Orders!B218</x:f>
        <x:v>45759</x:v>
      </x:c>
      <x:c r="C218" t="str">
        <x:f>Raw_Orders!C218</x:f>
        <x:v>C050</x:v>
      </x:c>
      <x:c r="D218" t="str">
        <x:f>INDEX(Customers!$B$2:$B$81,MATCH(C218,Customers!$A$2:$A$81,0))</x:f>
        <x:v>Customer 50</x:v>
      </x:c>
      <x:c r="E218" t="str">
        <x:f>INDEX(Customers!$C$2:$C$81,MATCH(C218,Customers!$A$2:$A$81,0))</x:f>
        <x:v>Corporate</x:v>
      </x:c>
      <x:c r="F218" t="str">
        <x:f>INDEX(Customers!$D$2:$D$81,MATCH(C218,Customers!$A$2:$A$81,0))</x:f>
        <x:v>South</x:v>
      </x:c>
      <x:c r="G218" t="str">
        <x:f>Raw_Orders!D218</x:f>
        <x:v>P008</x:v>
      </x:c>
      <x:c r="H218" t="str">
        <x:f>INDEX(Products!$B$2:$B$13,MATCH(G218,Products!$A$2:$A$13,0))</x:f>
        <x:v>Webcam</x:v>
      </x:c>
      <x:c r="I218" t="str">
        <x:f>INDEX(Products!$C$2:$C$13,MATCH(G218,Products!$A$2:$A$13,0))</x:f>
        <x:v>Accessories</x:v>
      </x:c>
      <x:c r="J218" t="str">
        <x:f>Raw_Orders!G218</x:f>
        <x:v>Retail</x:v>
      </x:c>
      <x:c r="K218" t="n">
        <x:f>Raw_Orders!E218</x:f>
        <x:v>1</x:v>
      </x:c>
      <x:c r="L218" s="12" t="n">
        <x:f>Raw_Orders!F218</x:f>
        <x:v>0</x:v>
      </x:c>
      <x:c r="M218" s="14" t="n">
        <x:f>INDEX(Products!$D$2:$D$13,MATCH(G218,Products!$A$2:$A$13,0))</x:f>
        <x:v>95</x:v>
      </x:c>
      <x:c r="N218" s="14" t="n">
        <x:f>INDEX(Products!$E$2:$E$13,MATCH(G218,Products!$A$2:$A$13,0))</x:f>
        <x:v>49</x:v>
      </x:c>
      <x:c r="O218" s="14" t="n">
        <x:f>K218*M218</x:f>
        <x:v>95</x:v>
      </x:c>
      <x:c r="P218" s="14" t="n">
        <x:f>O218*(1-L218)</x:f>
        <x:v>95</x:v>
      </x:c>
      <x:c r="Q218" s="14" t="n">
        <x:f>K218*N218</x:f>
        <x:v>49</x:v>
      </x:c>
      <x:c r="R218" s="14" t="n">
        <x:f>P218-Q218</x:f>
        <x:v>46</x:v>
      </x:c>
      <x:c r="S218" s="16" t="n">
        <x:f>IFERROR(R218/P218,0)</x:f>
        <x:v>0.4842105263157895</x:v>
      </x:c>
    </x:row>
    <x:row r="219" ht="15" hidden="0" customHeight="1">
      <x:c r="A219" t="str">
        <x:f>Raw_Orders!A219</x:f>
        <x:v>O0218</x:v>
      </x:c>
      <x:c r="B219" s="10" t="n">
        <x:f>Raw_Orders!B219</x:f>
        <x:v>45950</x:v>
      </x:c>
      <x:c r="C219" t="str">
        <x:f>Raw_Orders!C219</x:f>
        <x:v>C046</x:v>
      </x:c>
      <x:c r="D219" t="str">
        <x:f>INDEX(Customers!$B$2:$B$81,MATCH(C219,Customers!$A$2:$A$81,0))</x:f>
        <x:v>Customer 46</x:v>
      </x:c>
      <x:c r="E219" t="str">
        <x:f>INDEX(Customers!$C$2:$C$81,MATCH(C219,Customers!$A$2:$A$81,0))</x:f>
        <x:v>Consumer</x:v>
      </x:c>
      <x:c r="F219" t="str">
        <x:f>INDEX(Customers!$D$2:$D$81,MATCH(C219,Customers!$A$2:$A$81,0))</x:f>
        <x:v>South</x:v>
      </x:c>
      <x:c r="G219" t="str">
        <x:f>Raw_Orders!D219</x:f>
        <x:v>P010</x:v>
      </x:c>
      <x:c r="H219" t="str">
        <x:f>INDEX(Products!$B$2:$B$13,MATCH(G219,Products!$A$2:$A$13,0))</x:f>
        <x:v>Portable SSD</x:v>
      </x:c>
      <x:c r="I219" t="str">
        <x:f>INDEX(Products!$C$2:$C$13,MATCH(G219,Products!$A$2:$A$13,0))</x:f>
        <x:v>Storage</x:v>
      </x:c>
      <x:c r="J219" t="str">
        <x:f>Raw_Orders!G219</x:f>
        <x:v>Retail</x:v>
      </x:c>
      <x:c r="K219" t="n">
        <x:f>Raw_Orders!E219</x:f>
        <x:v>3</x:v>
      </x:c>
      <x:c r="L219" s="12" t="n">
        <x:f>Raw_Orders!F219</x:f>
        <x:v>0.15</x:v>
      </x:c>
      <x:c r="M219" s="14" t="n">
        <x:f>INDEX(Products!$D$2:$D$13,MATCH(G219,Products!$A$2:$A$13,0))</x:f>
        <x:v>145</x:v>
      </x:c>
      <x:c r="N219" s="14" t="n">
        <x:f>INDEX(Products!$E$2:$E$13,MATCH(G219,Products!$A$2:$A$13,0))</x:f>
        <x:v>86</x:v>
      </x:c>
      <x:c r="O219" s="14" t="n">
        <x:f>K219*M219</x:f>
        <x:v>435</x:v>
      </x:c>
      <x:c r="P219" s="14" t="n">
        <x:f>O219*(1-L219)</x:f>
        <x:v>369.75</x:v>
      </x:c>
      <x:c r="Q219" s="14" t="n">
        <x:f>K219*N219</x:f>
        <x:v>258</x:v>
      </x:c>
      <x:c r="R219" s="14" t="n">
        <x:f>P219-Q219</x:f>
        <x:v>111.75</x:v>
      </x:c>
      <x:c r="S219" s="16" t="n">
        <x:f>IFERROR(R219/P219,0)</x:f>
        <x:v>0.3022312373225152</x:v>
      </x:c>
    </x:row>
    <x:row r="220" ht="15" hidden="0" customHeight="1">
      <x:c r="A220" t="str">
        <x:f>Raw_Orders!A220</x:f>
        <x:v>O0219</x:v>
      </x:c>
      <x:c r="B220" s="10" t="n">
        <x:f>Raw_Orders!B220</x:f>
        <x:v>45669</x:v>
      </x:c>
      <x:c r="C220" t="str">
        <x:f>Raw_Orders!C220</x:f>
        <x:v>C051</x:v>
      </x:c>
      <x:c r="D220" t="str">
        <x:f>INDEX(Customers!$B$2:$B$81,MATCH(C220,Customers!$A$2:$A$81,0))</x:f>
        <x:v>Customer 51</x:v>
      </x:c>
      <x:c r="E220" t="str">
        <x:f>INDEX(Customers!$C$2:$C$81,MATCH(C220,Customers!$A$2:$A$81,0))</x:f>
        <x:v>Small Business</x:v>
      </x:c>
      <x:c r="F220" t="str">
        <x:f>INDEX(Customers!$D$2:$D$81,MATCH(C220,Customers!$A$2:$A$81,0))</x:f>
        <x:v>East</x:v>
      </x:c>
      <x:c r="G220" t="str">
        <x:f>Raw_Orders!D220</x:f>
        <x:v>P005</x:v>
      </x:c>
      <x:c r="H220" t="str">
        <x:f>INDEX(Products!$B$2:$B$13,MATCH(G220,Products!$A$2:$A$13,0))</x:f>
        <x:v>27in Monitor</x:v>
      </x:c>
      <x:c r="I220" t="str">
        <x:f>INDEX(Products!$C$2:$C$13,MATCH(G220,Products!$A$2:$A$13,0))</x:f>
        <x:v>Displays</x:v>
      </x:c>
      <x:c r="J220" t="str">
        <x:f>Raw_Orders!G220</x:f>
        <x:v>Partner</x:v>
      </x:c>
      <x:c r="K220" t="n">
        <x:f>Raw_Orders!E220</x:f>
        <x:v>1</x:v>
      </x:c>
      <x:c r="L220" s="12" t="n">
        <x:f>Raw_Orders!F220</x:f>
        <x:v>0.1</x:v>
      </x:c>
      <x:c r="M220" s="14" t="n">
        <x:f>INDEX(Products!$D$2:$D$13,MATCH(G220,Products!$A$2:$A$13,0))</x:f>
        <x:v>310</x:v>
      </x:c>
      <x:c r="N220" s="14" t="n">
        <x:f>INDEX(Products!$E$2:$E$13,MATCH(G220,Products!$A$2:$A$13,0))</x:f>
        <x:v>205</x:v>
      </x:c>
      <x:c r="O220" s="14" t="n">
        <x:f>K220*M220</x:f>
        <x:v>310</x:v>
      </x:c>
      <x:c r="P220" s="14" t="n">
        <x:f>O220*(1-L220)</x:f>
        <x:v>279</x:v>
      </x:c>
      <x:c r="Q220" s="14" t="n">
        <x:f>K220*N220</x:f>
        <x:v>205</x:v>
      </x:c>
      <x:c r="R220" s="14" t="n">
        <x:f>P220-Q220</x:f>
        <x:v>74</x:v>
      </x:c>
      <x:c r="S220" s="16" t="n">
        <x:f>IFERROR(R220/P220,0)</x:f>
        <x:v>0.26523297491039427</x:v>
      </x:c>
    </x:row>
    <x:row r="221" ht="15" hidden="0" customHeight="1">
      <x:c r="A221" t="str">
        <x:f>Raw_Orders!A221</x:f>
        <x:v>O0220</x:v>
      </x:c>
      <x:c r="B221" s="10" t="n">
        <x:f>Raw_Orders!B221</x:f>
        <x:v>45683</x:v>
      </x:c>
      <x:c r="C221" t="str">
        <x:f>Raw_Orders!C221</x:f>
        <x:v>C078</x:v>
      </x:c>
      <x:c r="D221" t="str">
        <x:f>INDEX(Customers!$B$2:$B$81,MATCH(C221,Customers!$A$2:$A$81,0))</x:f>
        <x:v>Customer 78</x:v>
      </x:c>
      <x:c r="E221" t="str">
        <x:f>INDEX(Customers!$C$2:$C$81,MATCH(C221,Customers!$A$2:$A$81,0))</x:f>
        <x:v>Small Business</x:v>
      </x:c>
      <x:c r="F221" t="str">
        <x:f>INDEX(Customers!$D$2:$D$81,MATCH(C221,Customers!$A$2:$A$81,0))</x:f>
        <x:v>South</x:v>
      </x:c>
      <x:c r="G221" t="str">
        <x:f>Raw_Orders!D221</x:f>
        <x:v>P012</x:v>
      </x:c>
      <x:c r="H221" t="str">
        <x:f>INDEX(Products!$B$2:$B$13,MATCH(G221,Products!$A$2:$A$13,0))</x:f>
        <x:v>Docking Station</x:v>
      </x:c>
      <x:c r="I221" t="str">
        <x:f>INDEX(Products!$C$2:$C$13,MATCH(G221,Products!$A$2:$A$13,0))</x:f>
        <x:v>Accessories</x:v>
      </x:c>
      <x:c r="J221" t="str">
        <x:f>Raw_Orders!G221</x:f>
        <x:v>Online</x:v>
      </x:c>
      <x:c r="K221" t="n">
        <x:f>Raw_Orders!E221</x:f>
        <x:v>4</x:v>
      </x:c>
      <x:c r="L221" s="12" t="n">
        <x:f>Raw_Orders!F221</x:f>
        <x:v>0</x:v>
      </x:c>
      <x:c r="M221" s="14" t="n">
        <x:f>INDEX(Products!$D$2:$D$13,MATCH(G221,Products!$A$2:$A$13,0))</x:f>
        <x:v>180</x:v>
      </x:c>
      <x:c r="N221" s="14" t="n">
        <x:f>INDEX(Products!$E$2:$E$13,MATCH(G221,Products!$A$2:$A$13,0))</x:f>
        <x:v>104</x:v>
      </x:c>
      <x:c r="O221" s="14" t="n">
        <x:f>K221*M221</x:f>
        <x:v>720</x:v>
      </x:c>
      <x:c r="P221" s="14" t="n">
        <x:f>O221*(1-L221)</x:f>
        <x:v>720</x:v>
      </x:c>
      <x:c r="Q221" s="14" t="n">
        <x:f>K221*N221</x:f>
        <x:v>416</x:v>
      </x:c>
      <x:c r="R221" s="14" t="n">
        <x:f>P221-Q221</x:f>
        <x:v>304</x:v>
      </x:c>
      <x:c r="S221" s="16" t="n">
        <x:f>IFERROR(R221/P221,0)</x:f>
        <x:v>0.4222222222222222</x:v>
      </x:c>
    </x:row>
    <x:row r="222" ht="15" hidden="0" customHeight="1">
      <x:c r="A222" t="str">
        <x:f>Raw_Orders!A222</x:f>
        <x:v>O0221</x:v>
      </x:c>
      <x:c r="B222" s="10" t="n">
        <x:f>Raw_Orders!B222</x:f>
        <x:v>45968</x:v>
      </x:c>
      <x:c r="C222" t="str">
        <x:f>Raw_Orders!C222</x:f>
        <x:v>C046</x:v>
      </x:c>
      <x:c r="D222" t="str">
        <x:f>INDEX(Customers!$B$2:$B$81,MATCH(C222,Customers!$A$2:$A$81,0))</x:f>
        <x:v>Customer 46</x:v>
      </x:c>
      <x:c r="E222" t="str">
        <x:f>INDEX(Customers!$C$2:$C$81,MATCH(C222,Customers!$A$2:$A$81,0))</x:f>
        <x:v>Consumer</x:v>
      </x:c>
      <x:c r="F222" t="str">
        <x:f>INDEX(Customers!$D$2:$D$81,MATCH(C222,Customers!$A$2:$A$81,0))</x:f>
        <x:v>South</x:v>
      </x:c>
      <x:c r="G222" t="str">
        <x:f>Raw_Orders!D222</x:f>
        <x:v>P004</x:v>
      </x:c>
      <x:c r="H222" t="str">
        <x:f>INDEX(Products!$B$2:$B$13,MATCH(G222,Products!$A$2:$A$13,0))</x:f>
        <x:v>24in Monitor</x:v>
      </x:c>
      <x:c r="I222" t="str">
        <x:f>INDEX(Products!$C$2:$C$13,MATCH(G222,Products!$A$2:$A$13,0))</x:f>
        <x:v>Displays</x:v>
      </x:c>
      <x:c r="J222" t="str">
        <x:f>Raw_Orders!G222</x:f>
        <x:v>Partner</x:v>
      </x:c>
      <x:c r="K222" t="n">
        <x:f>Raw_Orders!E222</x:f>
        <x:v>6</x:v>
      </x:c>
      <x:c r="L222" s="12" t="n">
        <x:f>Raw_Orders!F222</x:f>
        <x:v>0</x:v>
      </x:c>
      <x:c r="M222" s="14" t="n">
        <x:f>INDEX(Products!$D$2:$D$13,MATCH(G222,Products!$A$2:$A$13,0))</x:f>
        <x:v>220</x:v>
      </x:c>
      <x:c r="N222" s="14" t="n">
        <x:f>INDEX(Products!$E$2:$E$13,MATCH(G222,Products!$A$2:$A$13,0))</x:f>
        <x:v>142</x:v>
      </x:c>
      <x:c r="O222" s="14" t="n">
        <x:f>K222*M222</x:f>
        <x:v>1320</x:v>
      </x:c>
      <x:c r="P222" s="14" t="n">
        <x:f>O222*(1-L222)</x:f>
        <x:v>1320</x:v>
      </x:c>
      <x:c r="Q222" s="14" t="n">
        <x:f>K222*N222</x:f>
        <x:v>852</x:v>
      </x:c>
      <x:c r="R222" s="14" t="n">
        <x:f>P222-Q222</x:f>
        <x:v>468</x:v>
      </x:c>
      <x:c r="S222" s="16" t="n">
        <x:f>IFERROR(R222/P222,0)</x:f>
        <x:v>0.35454545454545455</x:v>
      </x:c>
    </x:row>
    <x:row r="223" ht="15" hidden="0" customHeight="1">
      <x:c r="A223" t="str">
        <x:f>Raw_Orders!A223</x:f>
        <x:v>O0222</x:v>
      </x:c>
      <x:c r="B223" s="10" t="n">
        <x:f>Raw_Orders!B223</x:f>
        <x:v>45786</x:v>
      </x:c>
      <x:c r="C223" t="str">
        <x:f>Raw_Orders!C223</x:f>
        <x:v>C018</x:v>
      </x:c>
      <x:c r="D223" t="str">
        <x:f>INDEX(Customers!$B$2:$B$81,MATCH(C223,Customers!$A$2:$A$81,0))</x:f>
        <x:v>Customer 18</x:v>
      </x:c>
      <x:c r="E223" t="str">
        <x:f>INDEX(Customers!$C$2:$C$81,MATCH(C223,Customers!$A$2:$A$81,0))</x:f>
        <x:v>Small Business</x:v>
      </x:c>
      <x:c r="F223" t="str">
        <x:f>INDEX(Customers!$D$2:$D$81,MATCH(C223,Customers!$A$2:$A$81,0))</x:f>
        <x:v>South</x:v>
      </x:c>
      <x:c r="G223" t="str">
        <x:f>Raw_Orders!D223</x:f>
        <x:v>P011</x:v>
      </x:c>
      <x:c r="H223" t="str">
        <x:f>INDEX(Products!$B$2:$B$13,MATCH(G223,Products!$A$2:$A$13,0))</x:f>
        <x:v>External HDD</x:v>
      </x:c>
      <x:c r="I223" t="str">
        <x:f>INDEX(Products!$C$2:$C$13,MATCH(G223,Products!$A$2:$A$13,0))</x:f>
        <x:v>Storage</x:v>
      </x:c>
      <x:c r="J223" t="str">
        <x:f>Raw_Orders!G223</x:f>
        <x:v>Partner</x:v>
      </x:c>
      <x:c r="K223" t="n">
        <x:f>Raw_Orders!E223</x:f>
        <x:v>1</x:v>
      </x:c>
      <x:c r="L223" s="12" t="n">
        <x:f>Raw_Orders!F223</x:f>
        <x:v>0.15</x:v>
      </x:c>
      <x:c r="M223" s="14" t="n">
        <x:f>INDEX(Products!$D$2:$D$13,MATCH(G223,Products!$A$2:$A$13,0))</x:f>
        <x:v>120</x:v>
      </x:c>
      <x:c r="N223" s="14" t="n">
        <x:f>INDEX(Products!$E$2:$E$13,MATCH(G223,Products!$A$2:$A$13,0))</x:f>
        <x:v>72</x:v>
      </x:c>
      <x:c r="O223" s="14" t="n">
        <x:f>K223*M223</x:f>
        <x:v>120</x:v>
      </x:c>
      <x:c r="P223" s="14" t="n">
        <x:f>O223*(1-L223)</x:f>
        <x:v>102</x:v>
      </x:c>
      <x:c r="Q223" s="14" t="n">
        <x:f>K223*N223</x:f>
        <x:v>72</x:v>
      </x:c>
      <x:c r="R223" s="14" t="n">
        <x:f>P223-Q223</x:f>
        <x:v>30</x:v>
      </x:c>
      <x:c r="S223" s="16" t="n">
        <x:f>IFERROR(R223/P223,0)</x:f>
        <x:v>0.29411764705882354</x:v>
      </x:c>
    </x:row>
    <x:row r="224" ht="15" hidden="0" customHeight="1">
      <x:c r="A224" t="str">
        <x:f>Raw_Orders!A224</x:f>
        <x:v>O0223</x:v>
      </x:c>
      <x:c r="B224" s="10" t="n">
        <x:f>Raw_Orders!B224</x:f>
        <x:v>45678</x:v>
      </x:c>
      <x:c r="C224" t="str">
        <x:f>Raw_Orders!C224</x:f>
        <x:v>C040</x:v>
      </x:c>
      <x:c r="D224" t="str">
        <x:f>INDEX(Customers!$B$2:$B$81,MATCH(C224,Customers!$A$2:$A$81,0))</x:f>
        <x:v>Customer 40</x:v>
      </x:c>
      <x:c r="E224" t="str">
        <x:f>INDEX(Customers!$C$2:$C$81,MATCH(C224,Customers!$A$2:$A$81,0))</x:f>
        <x:v>Consumer</x:v>
      </x:c>
      <x:c r="F224" t="str">
        <x:f>INDEX(Customers!$D$2:$D$81,MATCH(C224,Customers!$A$2:$A$81,0))</x:f>
        <x:v>West</x:v>
      </x:c>
      <x:c r="G224" t="str">
        <x:f>Raw_Orders!D224</x:f>
        <x:v>P008</x:v>
      </x:c>
      <x:c r="H224" t="str">
        <x:f>INDEX(Products!$B$2:$B$13,MATCH(G224,Products!$A$2:$A$13,0))</x:f>
        <x:v>Webcam</x:v>
      </x:c>
      <x:c r="I224" t="str">
        <x:f>INDEX(Products!$C$2:$C$13,MATCH(G224,Products!$A$2:$A$13,0))</x:f>
        <x:v>Accessories</x:v>
      </x:c>
      <x:c r="J224" t="str">
        <x:f>Raw_Orders!G224</x:f>
        <x:v>Retail</x:v>
      </x:c>
      <x:c r="K224" t="n">
        <x:f>Raw_Orders!E224</x:f>
        <x:v>1</x:v>
      </x:c>
      <x:c r="L224" s="12" t="n">
        <x:f>Raw_Orders!F224</x:f>
        <x:v>0.1</x:v>
      </x:c>
      <x:c r="M224" s="14" t="n">
        <x:f>INDEX(Products!$D$2:$D$13,MATCH(G224,Products!$A$2:$A$13,0))</x:f>
        <x:v>95</x:v>
      </x:c>
      <x:c r="N224" s="14" t="n">
        <x:f>INDEX(Products!$E$2:$E$13,MATCH(G224,Products!$A$2:$A$13,0))</x:f>
        <x:v>49</x:v>
      </x:c>
      <x:c r="O224" s="14" t="n">
        <x:f>K224*M224</x:f>
        <x:v>95</x:v>
      </x:c>
      <x:c r="P224" s="14" t="n">
        <x:f>O224*(1-L224)</x:f>
        <x:v>85.5</x:v>
      </x:c>
      <x:c r="Q224" s="14" t="n">
        <x:f>K224*N224</x:f>
        <x:v>49</x:v>
      </x:c>
      <x:c r="R224" s="14" t="n">
        <x:f>P224-Q224</x:f>
        <x:v>36.5</x:v>
      </x:c>
      <x:c r="S224" s="16" t="n">
        <x:f>IFERROR(R224/P224,0)</x:f>
        <x:v>0.4269005847953216</x:v>
      </x:c>
    </x:row>
    <x:row r="225" ht="15" hidden="0" customHeight="1">
      <x:c r="A225" t="str">
        <x:f>Raw_Orders!A225</x:f>
        <x:v>O0224</x:v>
      </x:c>
      <x:c r="B225" s="10" t="n">
        <x:f>Raw_Orders!B225</x:f>
        <x:v>45725</x:v>
      </x:c>
      <x:c r="C225" t="str">
        <x:f>Raw_Orders!C225</x:f>
        <x:v>C012</x:v>
      </x:c>
      <x:c r="D225" t="str">
        <x:f>INDEX(Customers!$B$2:$B$81,MATCH(C225,Customers!$A$2:$A$81,0))</x:f>
        <x:v>Customer 12</x:v>
      </x:c>
      <x:c r="E225" t="str">
        <x:f>INDEX(Customers!$C$2:$C$81,MATCH(C225,Customers!$A$2:$A$81,0))</x:f>
        <x:v>Small Business</x:v>
      </x:c>
      <x:c r="F225" t="str">
        <x:f>INDEX(Customers!$D$2:$D$81,MATCH(C225,Customers!$A$2:$A$81,0))</x:f>
        <x:v>West</x:v>
      </x:c>
      <x:c r="G225" t="str">
        <x:f>Raw_Orders!D225</x:f>
        <x:v>P005</x:v>
      </x:c>
      <x:c r="H225" t="str">
        <x:f>INDEX(Products!$B$2:$B$13,MATCH(G225,Products!$A$2:$A$13,0))</x:f>
        <x:v>27in Monitor</x:v>
      </x:c>
      <x:c r="I225" t="str">
        <x:f>INDEX(Products!$C$2:$C$13,MATCH(G225,Products!$A$2:$A$13,0))</x:f>
        <x:v>Displays</x:v>
      </x:c>
      <x:c r="J225" t="str">
        <x:f>Raw_Orders!G225</x:f>
        <x:v>Retail</x:v>
      </x:c>
      <x:c r="K225" t="n">
        <x:f>Raw_Orders!E225</x:f>
        <x:v>3</x:v>
      </x:c>
      <x:c r="L225" s="12" t="n">
        <x:f>Raw_Orders!F225</x:f>
        <x:v>0.15</x:v>
      </x:c>
      <x:c r="M225" s="14" t="n">
        <x:f>INDEX(Products!$D$2:$D$13,MATCH(G225,Products!$A$2:$A$13,0))</x:f>
        <x:v>310</x:v>
      </x:c>
      <x:c r="N225" s="14" t="n">
        <x:f>INDEX(Products!$E$2:$E$13,MATCH(G225,Products!$A$2:$A$13,0))</x:f>
        <x:v>205</x:v>
      </x:c>
      <x:c r="O225" s="14" t="n">
        <x:f>K225*M225</x:f>
        <x:v>930</x:v>
      </x:c>
      <x:c r="P225" s="14" t="n">
        <x:f>O225*(1-L225)</x:f>
        <x:v>790.5</x:v>
      </x:c>
      <x:c r="Q225" s="14" t="n">
        <x:f>K225*N225</x:f>
        <x:v>615</x:v>
      </x:c>
      <x:c r="R225" s="14" t="n">
        <x:f>P225-Q225</x:f>
        <x:v>175.5</x:v>
      </x:c>
      <x:c r="S225" s="16" t="n">
        <x:f>IFERROR(R225/P225,0)</x:f>
        <x:v>0.222011385199241</x:v>
      </x:c>
    </x:row>
    <x:row r="226" ht="15" hidden="0" customHeight="1">
      <x:c r="A226" t="str">
        <x:f>Raw_Orders!A226</x:f>
        <x:v>O0225</x:v>
      </x:c>
      <x:c r="B226" s="10" t="n">
        <x:f>Raw_Orders!B226</x:f>
        <x:v>45747</x:v>
      </x:c>
      <x:c r="C226" t="str">
        <x:f>Raw_Orders!C226</x:f>
        <x:v>C026</x:v>
      </x:c>
      <x:c r="D226" t="str">
        <x:f>INDEX(Customers!$B$2:$B$81,MATCH(C226,Customers!$A$2:$A$81,0))</x:f>
        <x:v>Customer 26</x:v>
      </x:c>
      <x:c r="E226" t="str">
        <x:f>INDEX(Customers!$C$2:$C$81,MATCH(C226,Customers!$A$2:$A$81,0))</x:f>
        <x:v>Corporate</x:v>
      </x:c>
      <x:c r="F226" t="str">
        <x:f>INDEX(Customers!$D$2:$D$81,MATCH(C226,Customers!$A$2:$A$81,0))</x:f>
        <x:v>South</x:v>
      </x:c>
      <x:c r="G226" t="str">
        <x:f>Raw_Orders!D226</x:f>
        <x:v>P003</x:v>
      </x:c>
      <x:c r="H226" t="str">
        <x:f>INDEX(Products!$B$2:$B$13,MATCH(G226,Products!$A$2:$A$13,0))</x:f>
        <x:v>USB-C Hub</x:v>
      </x:c>
      <x:c r="I226" t="str">
        <x:f>INDEX(Products!$C$2:$C$13,MATCH(G226,Products!$A$2:$A$13,0))</x:f>
        <x:v>Accessories</x:v>
      </x:c>
      <x:c r="J226" t="str">
        <x:f>Raw_Orders!G226</x:f>
        <x:v>Partner</x:v>
      </x:c>
      <x:c r="K226" t="n">
        <x:f>Raw_Orders!E226</x:f>
        <x:v>5</x:v>
      </x:c>
      <x:c r="L226" s="12" t="n">
        <x:f>Raw_Orders!F226</x:f>
        <x:v>0</x:v>
      </x:c>
      <x:c r="M226" s="14" t="n">
        <x:f>INDEX(Products!$D$2:$D$13,MATCH(G226,Products!$A$2:$A$13,0))</x:f>
        <x:v>65</x:v>
      </x:c>
      <x:c r="N226" s="14" t="n">
        <x:f>INDEX(Products!$E$2:$E$13,MATCH(G226,Products!$A$2:$A$13,0))</x:f>
        <x:v>31</x:v>
      </x:c>
      <x:c r="O226" s="14" t="n">
        <x:f>K226*M226</x:f>
        <x:v>325</x:v>
      </x:c>
      <x:c r="P226" s="14" t="n">
        <x:f>O226*(1-L226)</x:f>
        <x:v>325</x:v>
      </x:c>
      <x:c r="Q226" s="14" t="n">
        <x:f>K226*N226</x:f>
        <x:v>155</x:v>
      </x:c>
      <x:c r="R226" s="14" t="n">
        <x:f>P226-Q226</x:f>
        <x:v>170</x:v>
      </x:c>
      <x:c r="S226" s="16" t="n">
        <x:f>IFERROR(R226/P226,0)</x:f>
        <x:v>0.5230769230769231</x:v>
      </x:c>
    </x:row>
    <x:row r="227" ht="15" hidden="0" customHeight="1">
      <x:c r="A227" t="str">
        <x:f>Raw_Orders!A227</x:f>
        <x:v>O0226</x:v>
      </x:c>
      <x:c r="B227" s="10" t="n">
        <x:f>Raw_Orders!B227</x:f>
        <x:v>45914</x:v>
      </x:c>
      <x:c r="C227" t="str">
        <x:f>Raw_Orders!C227</x:f>
        <x:v>C035</x:v>
      </x:c>
      <x:c r="D227" t="str">
        <x:f>INDEX(Customers!$B$2:$B$81,MATCH(C227,Customers!$A$2:$A$81,0))</x:f>
        <x:v>Customer 35</x:v>
      </x:c>
      <x:c r="E227" t="str">
        <x:f>INDEX(Customers!$C$2:$C$81,MATCH(C227,Customers!$A$2:$A$81,0))</x:f>
        <x:v>Corporate</x:v>
      </x:c>
      <x:c r="F227" t="str">
        <x:f>INDEX(Customers!$D$2:$D$81,MATCH(C227,Customers!$A$2:$A$81,0))</x:f>
        <x:v>East</x:v>
      </x:c>
      <x:c r="G227" t="str">
        <x:f>Raw_Orders!D227</x:f>
        <x:v>P003</x:v>
      </x:c>
      <x:c r="H227" t="str">
        <x:f>INDEX(Products!$B$2:$B$13,MATCH(G227,Products!$A$2:$A$13,0))</x:f>
        <x:v>USB-C Hub</x:v>
      </x:c>
      <x:c r="I227" t="str">
        <x:f>INDEX(Products!$C$2:$C$13,MATCH(G227,Products!$A$2:$A$13,0))</x:f>
        <x:v>Accessories</x:v>
      </x:c>
      <x:c r="J227" t="str">
        <x:f>Raw_Orders!G227</x:f>
        <x:v>Retail</x:v>
      </x:c>
      <x:c r="K227" t="n">
        <x:f>Raw_Orders!E227</x:f>
        <x:v>3</x:v>
      </x:c>
      <x:c r="L227" s="12" t="n">
        <x:f>Raw_Orders!F227</x:f>
        <x:v>0.05</x:v>
      </x:c>
      <x:c r="M227" s="14" t="n">
        <x:f>INDEX(Products!$D$2:$D$13,MATCH(G227,Products!$A$2:$A$13,0))</x:f>
        <x:v>65</x:v>
      </x:c>
      <x:c r="N227" s="14" t="n">
        <x:f>INDEX(Products!$E$2:$E$13,MATCH(G227,Products!$A$2:$A$13,0))</x:f>
        <x:v>31</x:v>
      </x:c>
      <x:c r="O227" s="14" t="n">
        <x:f>K227*M227</x:f>
        <x:v>195</x:v>
      </x:c>
      <x:c r="P227" s="14" t="n">
        <x:f>O227*(1-L227)</x:f>
        <x:v>185.25</x:v>
      </x:c>
      <x:c r="Q227" s="14" t="n">
        <x:f>K227*N227</x:f>
        <x:v>93</x:v>
      </x:c>
      <x:c r="R227" s="14" t="n">
        <x:f>P227-Q227</x:f>
        <x:v>92.25</x:v>
      </x:c>
      <x:c r="S227" s="16" t="n">
        <x:f>IFERROR(R227/P227,0)</x:f>
        <x:v>0.4979757085020243</x:v>
      </x:c>
    </x:row>
    <x:row r="228" ht="15" hidden="0" customHeight="1">
      <x:c r="A228" t="str">
        <x:f>Raw_Orders!A228</x:f>
        <x:v>O0227</x:v>
      </x:c>
      <x:c r="B228" s="10" t="n">
        <x:f>Raw_Orders!B228</x:f>
        <x:v>45831</x:v>
      </x:c>
      <x:c r="C228" t="str">
        <x:f>Raw_Orders!C228</x:f>
        <x:v>C015</x:v>
      </x:c>
      <x:c r="D228" t="str">
        <x:f>INDEX(Customers!$B$2:$B$81,MATCH(C228,Customers!$A$2:$A$81,0))</x:f>
        <x:v>Customer 15</x:v>
      </x:c>
      <x:c r="E228" t="str">
        <x:f>INDEX(Customers!$C$2:$C$81,MATCH(C228,Customers!$A$2:$A$81,0))</x:f>
        <x:v>Small Business</x:v>
      </x:c>
      <x:c r="F228" t="str">
        <x:f>INDEX(Customers!$D$2:$D$81,MATCH(C228,Customers!$A$2:$A$81,0))</x:f>
        <x:v>East</x:v>
      </x:c>
      <x:c r="G228" t="str">
        <x:f>Raw_Orders!D228</x:f>
        <x:v>P008</x:v>
      </x:c>
      <x:c r="H228" t="str">
        <x:f>INDEX(Products!$B$2:$B$13,MATCH(G228,Products!$A$2:$A$13,0))</x:f>
        <x:v>Webcam</x:v>
      </x:c>
      <x:c r="I228" t="str">
        <x:f>INDEX(Products!$C$2:$C$13,MATCH(G228,Products!$A$2:$A$13,0))</x:f>
        <x:v>Accessories</x:v>
      </x:c>
      <x:c r="J228" t="str">
        <x:f>Raw_Orders!G228</x:f>
        <x:v>Online</x:v>
      </x:c>
      <x:c r="K228" t="n">
        <x:f>Raw_Orders!E228</x:f>
        <x:v>1</x:v>
      </x:c>
      <x:c r="L228" s="12" t="n">
        <x:f>Raw_Orders!F228</x:f>
        <x:v>0</x:v>
      </x:c>
      <x:c r="M228" s="14" t="n">
        <x:f>INDEX(Products!$D$2:$D$13,MATCH(G228,Products!$A$2:$A$13,0))</x:f>
        <x:v>95</x:v>
      </x:c>
      <x:c r="N228" s="14" t="n">
        <x:f>INDEX(Products!$E$2:$E$13,MATCH(G228,Products!$A$2:$A$13,0))</x:f>
        <x:v>49</x:v>
      </x:c>
      <x:c r="O228" s="14" t="n">
        <x:f>K228*M228</x:f>
        <x:v>95</x:v>
      </x:c>
      <x:c r="P228" s="14" t="n">
        <x:f>O228*(1-L228)</x:f>
        <x:v>95</x:v>
      </x:c>
      <x:c r="Q228" s="14" t="n">
        <x:f>K228*N228</x:f>
        <x:v>49</x:v>
      </x:c>
      <x:c r="R228" s="14" t="n">
        <x:f>P228-Q228</x:f>
        <x:v>46</x:v>
      </x:c>
      <x:c r="S228" s="16" t="n">
        <x:f>IFERROR(R228/P228,0)</x:f>
        <x:v>0.4842105263157895</x:v>
      </x:c>
    </x:row>
    <x:row r="229" ht="15" hidden="0" customHeight="1">
      <x:c r="A229" t="str">
        <x:f>Raw_Orders!A229</x:f>
        <x:v>O0228</x:v>
      </x:c>
      <x:c r="B229" s="10" t="n">
        <x:f>Raw_Orders!B229</x:f>
        <x:v>46004</x:v>
      </x:c>
      <x:c r="C229" t="str">
        <x:f>Raw_Orders!C229</x:f>
        <x:v>C051</x:v>
      </x:c>
      <x:c r="D229" t="str">
        <x:f>INDEX(Customers!$B$2:$B$81,MATCH(C229,Customers!$A$2:$A$81,0))</x:f>
        <x:v>Customer 51</x:v>
      </x:c>
      <x:c r="E229" t="str">
        <x:f>INDEX(Customers!$C$2:$C$81,MATCH(C229,Customers!$A$2:$A$81,0))</x:f>
        <x:v>Small Business</x:v>
      </x:c>
      <x:c r="F229" t="str">
        <x:f>INDEX(Customers!$D$2:$D$81,MATCH(C229,Customers!$A$2:$A$81,0))</x:f>
        <x:v>East</x:v>
      </x:c>
      <x:c r="G229" t="str">
        <x:f>Raw_Orders!D229</x:f>
        <x:v>P009</x:v>
      </x:c>
      <x:c r="H229" t="str">
        <x:f>INDEX(Products!$B$2:$B$13,MATCH(G229,Products!$A$2:$A$13,0))</x:f>
        <x:v>Desk Lamp</x:v>
      </x:c>
      <x:c r="I229" t="str">
        <x:f>INDEX(Products!$C$2:$C$13,MATCH(G229,Products!$A$2:$A$13,0))</x:f>
        <x:v>Office</x:v>
      </x:c>
      <x:c r="J229" t="str">
        <x:f>Raw_Orders!G229</x:f>
        <x:v>Retail</x:v>
      </x:c>
      <x:c r="K229" t="n">
        <x:f>Raw_Orders!E229</x:f>
        <x:v>3</x:v>
      </x:c>
      <x:c r="L229" s="12" t="n">
        <x:f>Raw_Orders!F229</x:f>
        <x:v>0</x:v>
      </x:c>
      <x:c r="M229" s="14" t="n">
        <x:f>INDEX(Products!$D$2:$D$13,MATCH(G229,Products!$A$2:$A$13,0))</x:f>
        <x:v>70</x:v>
      </x:c>
      <x:c r="N229" s="14" t="n">
        <x:f>INDEX(Products!$E$2:$E$13,MATCH(G229,Products!$A$2:$A$13,0))</x:f>
        <x:v>29</x:v>
      </x:c>
      <x:c r="O229" s="14" t="n">
        <x:f>K229*M229</x:f>
        <x:v>210</x:v>
      </x:c>
      <x:c r="P229" s="14" t="n">
        <x:f>O229*(1-L229)</x:f>
        <x:v>210</x:v>
      </x:c>
      <x:c r="Q229" s="14" t="n">
        <x:f>K229*N229</x:f>
        <x:v>87</x:v>
      </x:c>
      <x:c r="R229" s="14" t="n">
        <x:f>P229-Q229</x:f>
        <x:v>123</x:v>
      </x:c>
      <x:c r="S229" s="16" t="n">
        <x:f>IFERROR(R229/P229,0)</x:f>
        <x:v>0.5857142857142857</x:v>
      </x:c>
    </x:row>
    <x:row r="230" ht="15" hidden="0" customHeight="1">
      <x:c r="A230" t="str">
        <x:f>Raw_Orders!A230</x:f>
        <x:v>O0229</x:v>
      </x:c>
      <x:c r="B230" s="10" t="n">
        <x:f>Raw_Orders!B230</x:f>
        <x:v>45665</x:v>
      </x:c>
      <x:c r="C230" t="str">
        <x:f>Raw_Orders!C230</x:f>
        <x:v>C034</x:v>
      </x:c>
      <x:c r="D230" t="str">
        <x:f>INDEX(Customers!$B$2:$B$81,MATCH(C230,Customers!$A$2:$A$81,0))</x:f>
        <x:v>Customer 34</x:v>
      </x:c>
      <x:c r="E230" t="str">
        <x:f>INDEX(Customers!$C$2:$C$81,MATCH(C230,Customers!$A$2:$A$81,0))</x:f>
        <x:v>Consumer</x:v>
      </x:c>
      <x:c r="F230" t="str">
        <x:f>INDEX(Customers!$D$2:$D$81,MATCH(C230,Customers!$A$2:$A$81,0))</x:f>
        <x:v>South</x:v>
      </x:c>
      <x:c r="G230" t="str">
        <x:f>Raw_Orders!D230</x:f>
        <x:v>P009</x:v>
      </x:c>
      <x:c r="H230" t="str">
        <x:f>INDEX(Products!$B$2:$B$13,MATCH(G230,Products!$A$2:$A$13,0))</x:f>
        <x:v>Desk Lamp</x:v>
      </x:c>
      <x:c r="I230" t="str">
        <x:f>INDEX(Products!$C$2:$C$13,MATCH(G230,Products!$A$2:$A$13,0))</x:f>
        <x:v>Office</x:v>
      </x:c>
      <x:c r="J230" t="str">
        <x:f>Raw_Orders!G230</x:f>
        <x:v>Retail</x:v>
      </x:c>
      <x:c r="K230" t="n">
        <x:f>Raw_Orders!E230</x:f>
        <x:v>1</x:v>
      </x:c>
      <x:c r="L230" s="12" t="n">
        <x:f>Raw_Orders!F230</x:f>
        <x:v>0.05</x:v>
      </x:c>
      <x:c r="M230" s="14" t="n">
        <x:f>INDEX(Products!$D$2:$D$13,MATCH(G230,Products!$A$2:$A$13,0))</x:f>
        <x:v>70</x:v>
      </x:c>
      <x:c r="N230" s="14" t="n">
        <x:f>INDEX(Products!$E$2:$E$13,MATCH(G230,Products!$A$2:$A$13,0))</x:f>
        <x:v>29</x:v>
      </x:c>
      <x:c r="O230" s="14" t="n">
        <x:f>K230*M230</x:f>
        <x:v>70</x:v>
      </x:c>
      <x:c r="P230" s="14" t="n">
        <x:f>O230*(1-L230)</x:f>
        <x:v>66.5</x:v>
      </x:c>
      <x:c r="Q230" s="14" t="n">
        <x:f>K230*N230</x:f>
        <x:v>29</x:v>
      </x:c>
      <x:c r="R230" s="14" t="n">
        <x:f>P230-Q230</x:f>
        <x:v>37.5</x:v>
      </x:c>
      <x:c r="S230" s="16" t="n">
        <x:f>IFERROR(R230/P230,0)</x:f>
        <x:v>0.5639097744360902</x:v>
      </x:c>
    </x:row>
    <x:row r="231" ht="15" hidden="0" customHeight="1">
      <x:c r="A231" t="str">
        <x:f>Raw_Orders!A231</x:f>
        <x:v>O0230</x:v>
      </x:c>
      <x:c r="B231" s="10" t="n">
        <x:f>Raw_Orders!B231</x:f>
        <x:v>46002</x:v>
      </x:c>
      <x:c r="C231" t="str">
        <x:f>Raw_Orders!C231</x:f>
        <x:v>C034</x:v>
      </x:c>
      <x:c r="D231" t="str">
        <x:f>INDEX(Customers!$B$2:$B$81,MATCH(C231,Customers!$A$2:$A$81,0))</x:f>
        <x:v>Customer 34</x:v>
      </x:c>
      <x:c r="E231" t="str">
        <x:f>INDEX(Customers!$C$2:$C$81,MATCH(C231,Customers!$A$2:$A$81,0))</x:f>
        <x:v>Consumer</x:v>
      </x:c>
      <x:c r="F231" t="str">
        <x:f>INDEX(Customers!$D$2:$D$81,MATCH(C231,Customers!$A$2:$A$81,0))</x:f>
        <x:v>South</x:v>
      </x:c>
      <x:c r="G231" t="str">
        <x:f>Raw_Orders!D231</x:f>
        <x:v>P010</x:v>
      </x:c>
      <x:c r="H231" t="str">
        <x:f>INDEX(Products!$B$2:$B$13,MATCH(G231,Products!$A$2:$A$13,0))</x:f>
        <x:v>Portable SSD</x:v>
      </x:c>
      <x:c r="I231" t="str">
        <x:f>INDEX(Products!$C$2:$C$13,MATCH(G231,Products!$A$2:$A$13,0))</x:f>
        <x:v>Storage</x:v>
      </x:c>
      <x:c r="J231" t="str">
        <x:f>Raw_Orders!G231</x:f>
        <x:v>Retail</x:v>
      </x:c>
      <x:c r="K231" t="n">
        <x:f>Raw_Orders!E231</x:f>
        <x:v>4</x:v>
      </x:c>
      <x:c r="L231" s="12" t="n">
        <x:f>Raw_Orders!F231</x:f>
        <x:v>0.15</x:v>
      </x:c>
      <x:c r="M231" s="14" t="n">
        <x:f>INDEX(Products!$D$2:$D$13,MATCH(G231,Products!$A$2:$A$13,0))</x:f>
        <x:v>145</x:v>
      </x:c>
      <x:c r="N231" s="14" t="n">
        <x:f>INDEX(Products!$E$2:$E$13,MATCH(G231,Products!$A$2:$A$13,0))</x:f>
        <x:v>86</x:v>
      </x:c>
      <x:c r="O231" s="14" t="n">
        <x:f>K231*M231</x:f>
        <x:v>580</x:v>
      </x:c>
      <x:c r="P231" s="14" t="n">
        <x:f>O231*(1-L231)</x:f>
        <x:v>493</x:v>
      </x:c>
      <x:c r="Q231" s="14" t="n">
        <x:f>K231*N231</x:f>
        <x:v>344</x:v>
      </x:c>
      <x:c r="R231" s="14" t="n">
        <x:f>P231-Q231</x:f>
        <x:v>149</x:v>
      </x:c>
      <x:c r="S231" s="16" t="n">
        <x:f>IFERROR(R231/P231,0)</x:f>
        <x:v>0.3022312373225152</x:v>
      </x:c>
    </x:row>
    <x:row r="232" ht="15" hidden="0" customHeight="1">
      <x:c r="A232" t="str">
        <x:f>Raw_Orders!A232</x:f>
        <x:v>O0231</x:v>
      </x:c>
      <x:c r="B232" s="10" t="n">
        <x:f>Raw_Orders!B232</x:f>
        <x:v>45713</x:v>
      </x:c>
      <x:c r="C232" t="str">
        <x:f>Raw_Orders!C232</x:f>
        <x:v>C030</x:v>
      </x:c>
      <x:c r="D232" t="str">
        <x:f>INDEX(Customers!$B$2:$B$81,MATCH(C232,Customers!$A$2:$A$81,0))</x:f>
        <x:v>Customer 30</x:v>
      </x:c>
      <x:c r="E232" t="str">
        <x:f>INDEX(Customers!$C$2:$C$81,MATCH(C232,Customers!$A$2:$A$81,0))</x:f>
        <x:v>Small Business</x:v>
      </x:c>
      <x:c r="F232" t="str">
        <x:f>INDEX(Customers!$D$2:$D$81,MATCH(C232,Customers!$A$2:$A$81,0))</x:f>
        <x:v>South</x:v>
      </x:c>
      <x:c r="G232" t="str">
        <x:f>Raw_Orders!D232</x:f>
        <x:v>P008</x:v>
      </x:c>
      <x:c r="H232" t="str">
        <x:f>INDEX(Products!$B$2:$B$13,MATCH(G232,Products!$A$2:$A$13,0))</x:f>
        <x:v>Webcam</x:v>
      </x:c>
      <x:c r="I232" t="str">
        <x:f>INDEX(Products!$C$2:$C$13,MATCH(G232,Products!$A$2:$A$13,0))</x:f>
        <x:v>Accessories</x:v>
      </x:c>
      <x:c r="J232" t="str">
        <x:f>Raw_Orders!G232</x:f>
        <x:v>Partner</x:v>
      </x:c>
      <x:c r="K232" t="n">
        <x:f>Raw_Orders!E232</x:f>
        <x:v>1</x:v>
      </x:c>
      <x:c r="L232" s="12" t="n">
        <x:f>Raw_Orders!F232</x:f>
        <x:v>0.1</x:v>
      </x:c>
      <x:c r="M232" s="14" t="n">
        <x:f>INDEX(Products!$D$2:$D$13,MATCH(G232,Products!$A$2:$A$13,0))</x:f>
        <x:v>95</x:v>
      </x:c>
      <x:c r="N232" s="14" t="n">
        <x:f>INDEX(Products!$E$2:$E$13,MATCH(G232,Products!$A$2:$A$13,0))</x:f>
        <x:v>49</x:v>
      </x:c>
      <x:c r="O232" s="14" t="n">
        <x:f>K232*M232</x:f>
        <x:v>95</x:v>
      </x:c>
      <x:c r="P232" s="14" t="n">
        <x:f>O232*(1-L232)</x:f>
        <x:v>85.5</x:v>
      </x:c>
      <x:c r="Q232" s="14" t="n">
        <x:f>K232*N232</x:f>
        <x:v>49</x:v>
      </x:c>
      <x:c r="R232" s="14" t="n">
        <x:f>P232-Q232</x:f>
        <x:v>36.5</x:v>
      </x:c>
      <x:c r="S232" s="16" t="n">
        <x:f>IFERROR(R232/P232,0)</x:f>
        <x:v>0.4269005847953216</x:v>
      </x:c>
    </x:row>
    <x:row r="233" ht="15" hidden="0" customHeight="1">
      <x:c r="A233" t="str">
        <x:f>Raw_Orders!A233</x:f>
        <x:v>O0232</x:v>
      </x:c>
      <x:c r="B233" s="10" t="n">
        <x:f>Raw_Orders!B233</x:f>
        <x:v>45825</x:v>
      </x:c>
      <x:c r="C233" t="str">
        <x:f>Raw_Orders!C233</x:f>
        <x:v>C079</x:v>
      </x:c>
      <x:c r="D233" t="str">
        <x:f>INDEX(Customers!$B$2:$B$81,MATCH(C233,Customers!$A$2:$A$81,0))</x:f>
        <x:v>Customer 79</x:v>
      </x:c>
      <x:c r="E233" t="str">
        <x:f>INDEX(Customers!$C$2:$C$81,MATCH(C233,Customers!$A$2:$A$81,0))</x:f>
        <x:v>Consumer</x:v>
      </x:c>
      <x:c r="F233" t="str">
        <x:f>INDEX(Customers!$D$2:$D$81,MATCH(C233,Customers!$A$2:$A$81,0))</x:f>
        <x:v>East</x:v>
      </x:c>
      <x:c r="G233" t="str">
        <x:f>Raw_Orders!D233</x:f>
        <x:v>P004</x:v>
      </x:c>
      <x:c r="H233" t="str">
        <x:f>INDEX(Products!$B$2:$B$13,MATCH(G233,Products!$A$2:$A$13,0))</x:f>
        <x:v>24in Monitor</x:v>
      </x:c>
      <x:c r="I233" t="str">
        <x:f>INDEX(Products!$C$2:$C$13,MATCH(G233,Products!$A$2:$A$13,0))</x:f>
        <x:v>Displays</x:v>
      </x:c>
      <x:c r="J233" t="str">
        <x:f>Raw_Orders!G233</x:f>
        <x:v>Partner</x:v>
      </x:c>
      <x:c r="K233" t="n">
        <x:f>Raw_Orders!E233</x:f>
        <x:v>6</x:v>
      </x:c>
      <x:c r="L233" s="12" t="n">
        <x:f>Raw_Orders!F233</x:f>
        <x:v>0</x:v>
      </x:c>
      <x:c r="M233" s="14" t="n">
        <x:f>INDEX(Products!$D$2:$D$13,MATCH(G233,Products!$A$2:$A$13,0))</x:f>
        <x:v>220</x:v>
      </x:c>
      <x:c r="N233" s="14" t="n">
        <x:f>INDEX(Products!$E$2:$E$13,MATCH(G233,Products!$A$2:$A$13,0))</x:f>
        <x:v>142</x:v>
      </x:c>
      <x:c r="O233" s="14" t="n">
        <x:f>K233*M233</x:f>
        <x:v>1320</x:v>
      </x:c>
      <x:c r="P233" s="14" t="n">
        <x:f>O233*(1-L233)</x:f>
        <x:v>1320</x:v>
      </x:c>
      <x:c r="Q233" s="14" t="n">
        <x:f>K233*N233</x:f>
        <x:v>852</x:v>
      </x:c>
      <x:c r="R233" s="14" t="n">
        <x:f>P233-Q233</x:f>
        <x:v>468</x:v>
      </x:c>
      <x:c r="S233" s="16" t="n">
        <x:f>IFERROR(R233/P233,0)</x:f>
        <x:v>0.35454545454545455</x:v>
      </x:c>
    </x:row>
    <x:row r="234" ht="15" hidden="0" customHeight="1">
      <x:c r="A234" t="str">
        <x:f>Raw_Orders!A234</x:f>
        <x:v>O0233</x:v>
      </x:c>
      <x:c r="B234" s="10" t="n">
        <x:f>Raw_Orders!B234</x:f>
        <x:v>45895</x:v>
      </x:c>
      <x:c r="C234" t="str">
        <x:f>Raw_Orders!C234</x:f>
        <x:v>C039</x:v>
      </x:c>
      <x:c r="D234" t="str">
        <x:f>INDEX(Customers!$B$2:$B$81,MATCH(C234,Customers!$A$2:$A$81,0))</x:f>
        <x:v>Customer 39</x:v>
      </x:c>
      <x:c r="E234" t="str">
        <x:f>INDEX(Customers!$C$2:$C$81,MATCH(C234,Customers!$A$2:$A$81,0))</x:f>
        <x:v>Small Business</x:v>
      </x:c>
      <x:c r="F234" t="str">
        <x:f>INDEX(Customers!$D$2:$D$81,MATCH(C234,Customers!$A$2:$A$81,0))</x:f>
        <x:v>East</x:v>
      </x:c>
      <x:c r="G234" t="str">
        <x:f>Raw_Orders!D234</x:f>
        <x:v>P011</x:v>
      </x:c>
      <x:c r="H234" t="str">
        <x:f>INDEX(Products!$B$2:$B$13,MATCH(G234,Products!$A$2:$A$13,0))</x:f>
        <x:v>External HDD</x:v>
      </x:c>
      <x:c r="I234" t="str">
        <x:f>INDEX(Products!$C$2:$C$13,MATCH(G234,Products!$A$2:$A$13,0))</x:f>
        <x:v>Storage</x:v>
      </x:c>
      <x:c r="J234" t="str">
        <x:f>Raw_Orders!G234</x:f>
        <x:v>Online</x:v>
      </x:c>
      <x:c r="K234" t="n">
        <x:f>Raw_Orders!E234</x:f>
        <x:v>4</x:v>
      </x:c>
      <x:c r="L234" s="12" t="n">
        <x:f>Raw_Orders!F234</x:f>
        <x:v>0</x:v>
      </x:c>
      <x:c r="M234" s="14" t="n">
        <x:f>INDEX(Products!$D$2:$D$13,MATCH(G234,Products!$A$2:$A$13,0))</x:f>
        <x:v>120</x:v>
      </x:c>
      <x:c r="N234" s="14" t="n">
        <x:f>INDEX(Products!$E$2:$E$13,MATCH(G234,Products!$A$2:$A$13,0))</x:f>
        <x:v>72</x:v>
      </x:c>
      <x:c r="O234" s="14" t="n">
        <x:f>K234*M234</x:f>
        <x:v>480</x:v>
      </x:c>
      <x:c r="P234" s="14" t="n">
        <x:f>O234*(1-L234)</x:f>
        <x:v>480</x:v>
      </x:c>
      <x:c r="Q234" s="14" t="n">
        <x:f>K234*N234</x:f>
        <x:v>288</x:v>
      </x:c>
      <x:c r="R234" s="14" t="n">
        <x:f>P234-Q234</x:f>
        <x:v>192</x:v>
      </x:c>
      <x:c r="S234" s="16" t="n">
        <x:f>IFERROR(R234/P234,0)</x:f>
        <x:v>0.4</x:v>
      </x:c>
    </x:row>
    <x:row r="235" ht="15" hidden="0" customHeight="1">
      <x:c r="A235" t="str">
        <x:f>Raw_Orders!A235</x:f>
        <x:v>O0234</x:v>
      </x:c>
      <x:c r="B235" s="10" t="n">
        <x:f>Raw_Orders!B235</x:f>
        <x:v>45681</x:v>
      </x:c>
      <x:c r="C235" t="str">
        <x:f>Raw_Orders!C235</x:f>
        <x:v>C005</x:v>
      </x:c>
      <x:c r="D235" t="str">
        <x:f>INDEX(Customers!$B$2:$B$81,MATCH(C235,Customers!$A$2:$A$81,0))</x:f>
        <x:v>Customer 05</x:v>
      </x:c>
      <x:c r="E235" t="str">
        <x:f>INDEX(Customers!$C$2:$C$81,MATCH(C235,Customers!$A$2:$A$81,0))</x:f>
        <x:v>Corporate</x:v>
      </x:c>
      <x:c r="F235" t="str">
        <x:f>INDEX(Customers!$D$2:$D$81,MATCH(C235,Customers!$A$2:$A$81,0))</x:f>
        <x:v>North</x:v>
      </x:c>
      <x:c r="G235" t="str">
        <x:f>Raw_Orders!D235</x:f>
        <x:v>P005</x:v>
      </x:c>
      <x:c r="H235" t="str">
        <x:f>INDEX(Products!$B$2:$B$13,MATCH(G235,Products!$A$2:$A$13,0))</x:f>
        <x:v>27in Monitor</x:v>
      </x:c>
      <x:c r="I235" t="str">
        <x:f>INDEX(Products!$C$2:$C$13,MATCH(G235,Products!$A$2:$A$13,0))</x:f>
        <x:v>Displays</x:v>
      </x:c>
      <x:c r="J235" t="str">
        <x:f>Raw_Orders!G235</x:f>
        <x:v>Online</x:v>
      </x:c>
      <x:c r="K235" t="n">
        <x:f>Raw_Orders!E235</x:f>
        <x:v>4</x:v>
      </x:c>
      <x:c r="L235" s="12" t="n">
        <x:f>Raw_Orders!F235</x:f>
        <x:v>0</x:v>
      </x:c>
      <x:c r="M235" s="14" t="n">
        <x:f>INDEX(Products!$D$2:$D$13,MATCH(G235,Products!$A$2:$A$13,0))</x:f>
        <x:v>310</x:v>
      </x:c>
      <x:c r="N235" s="14" t="n">
        <x:f>INDEX(Products!$E$2:$E$13,MATCH(G235,Products!$A$2:$A$13,0))</x:f>
        <x:v>205</x:v>
      </x:c>
      <x:c r="O235" s="14" t="n">
        <x:f>K235*M235</x:f>
        <x:v>1240</x:v>
      </x:c>
      <x:c r="P235" s="14" t="n">
        <x:f>O235*(1-L235)</x:f>
        <x:v>1240</x:v>
      </x:c>
      <x:c r="Q235" s="14" t="n">
        <x:f>K235*N235</x:f>
        <x:v>820</x:v>
      </x:c>
      <x:c r="R235" s="14" t="n">
        <x:f>P235-Q235</x:f>
        <x:v>420</x:v>
      </x:c>
      <x:c r="S235" s="16" t="n">
        <x:f>IFERROR(R235/P235,0)</x:f>
        <x:v>0.3387096774193548</x:v>
      </x:c>
    </x:row>
    <x:row r="236" ht="15" hidden="0" customHeight="1">
      <x:c r="A236" t="str">
        <x:f>Raw_Orders!A236</x:f>
        <x:v>O0235</x:v>
      </x:c>
      <x:c r="B236" s="10" t="n">
        <x:f>Raw_Orders!B236</x:f>
        <x:v>45778</x:v>
      </x:c>
      <x:c r="C236" t="str">
        <x:f>Raw_Orders!C236</x:f>
        <x:v>C069</x:v>
      </x:c>
      <x:c r="D236" t="str">
        <x:f>INDEX(Customers!$B$2:$B$81,MATCH(C236,Customers!$A$2:$A$81,0))</x:f>
        <x:v>Customer 69</x:v>
      </x:c>
      <x:c r="E236" t="str">
        <x:f>INDEX(Customers!$C$2:$C$81,MATCH(C236,Customers!$A$2:$A$81,0))</x:f>
        <x:v>Small Business</x:v>
      </x:c>
      <x:c r="F236" t="str">
        <x:f>INDEX(Customers!$D$2:$D$81,MATCH(C236,Customers!$A$2:$A$81,0))</x:f>
        <x:v>North</x:v>
      </x:c>
      <x:c r="G236" t="str">
        <x:f>Raw_Orders!D236</x:f>
        <x:v>P003</x:v>
      </x:c>
      <x:c r="H236" t="str">
        <x:f>INDEX(Products!$B$2:$B$13,MATCH(G236,Products!$A$2:$A$13,0))</x:f>
        <x:v>USB-C Hub</x:v>
      </x:c>
      <x:c r="I236" t="str">
        <x:f>INDEX(Products!$C$2:$C$13,MATCH(G236,Products!$A$2:$A$13,0))</x:f>
        <x:v>Accessories</x:v>
      </x:c>
      <x:c r="J236" t="str">
        <x:f>Raw_Orders!G236</x:f>
        <x:v>Retail</x:v>
      </x:c>
      <x:c r="K236" t="n">
        <x:f>Raw_Orders!E236</x:f>
        <x:v>4</x:v>
      </x:c>
      <x:c r="L236" s="12" t="n">
        <x:f>Raw_Orders!F236</x:f>
        <x:v>0.05</x:v>
      </x:c>
      <x:c r="M236" s="14" t="n">
        <x:f>INDEX(Products!$D$2:$D$13,MATCH(G236,Products!$A$2:$A$13,0))</x:f>
        <x:v>65</x:v>
      </x:c>
      <x:c r="N236" s="14" t="n">
        <x:f>INDEX(Products!$E$2:$E$13,MATCH(G236,Products!$A$2:$A$13,0))</x:f>
        <x:v>31</x:v>
      </x:c>
      <x:c r="O236" s="14" t="n">
        <x:f>K236*M236</x:f>
        <x:v>260</x:v>
      </x:c>
      <x:c r="P236" s="14" t="n">
        <x:f>O236*(1-L236)</x:f>
        <x:v>247</x:v>
      </x:c>
      <x:c r="Q236" s="14" t="n">
        <x:f>K236*N236</x:f>
        <x:v>124</x:v>
      </x:c>
      <x:c r="R236" s="14" t="n">
        <x:f>P236-Q236</x:f>
        <x:v>123</x:v>
      </x:c>
      <x:c r="S236" s="16" t="n">
        <x:f>IFERROR(R236/P236,0)</x:f>
        <x:v>0.4979757085020243</x:v>
      </x:c>
    </x:row>
    <x:row r="237" ht="15" hidden="0" customHeight="1">
      <x:c r="A237" t="str">
        <x:f>Raw_Orders!A237</x:f>
        <x:v>O0236</x:v>
      </x:c>
      <x:c r="B237" s="10" t="n">
        <x:f>Raw_Orders!B237</x:f>
        <x:v>46001</x:v>
      </x:c>
      <x:c r="C237" t="str">
        <x:f>Raw_Orders!C237</x:f>
        <x:v>C070</x:v>
      </x:c>
      <x:c r="D237" t="str">
        <x:f>INDEX(Customers!$B$2:$B$81,MATCH(C237,Customers!$A$2:$A$81,0))</x:f>
        <x:v>Customer 70</x:v>
      </x:c>
      <x:c r="E237" t="str">
        <x:f>INDEX(Customers!$C$2:$C$81,MATCH(C237,Customers!$A$2:$A$81,0))</x:f>
        <x:v>Consumer</x:v>
      </x:c>
      <x:c r="F237" t="str">
        <x:f>INDEX(Customers!$D$2:$D$81,MATCH(C237,Customers!$A$2:$A$81,0))</x:f>
        <x:v>South</x:v>
      </x:c>
      <x:c r="G237" t="str">
        <x:f>Raw_Orders!D237</x:f>
        <x:v>P007</x:v>
      </x:c>
      <x:c r="H237" t="str">
        <x:f>INDEX(Products!$B$2:$B$13,MATCH(G237,Products!$A$2:$A$13,0))</x:f>
        <x:v>Ergonomic Chair</x:v>
      </x:c>
      <x:c r="I237" t="str">
        <x:f>INDEX(Products!$C$2:$C$13,MATCH(G237,Products!$A$2:$A$13,0))</x:f>
        <x:v>Office</x:v>
      </x:c>
      <x:c r="J237" t="str">
        <x:f>Raw_Orders!G237</x:f>
        <x:v>Partner</x:v>
      </x:c>
      <x:c r="K237" t="n">
        <x:f>Raw_Orders!E237</x:f>
        <x:v>5</x:v>
      </x:c>
      <x:c r="L237" s="12" t="n">
        <x:f>Raw_Orders!F237</x:f>
        <x:v>0.15</x:v>
      </x:c>
      <x:c r="M237" s="14" t="n">
        <x:f>INDEX(Products!$D$2:$D$13,MATCH(G237,Products!$A$2:$A$13,0))</x:f>
        <x:v>390</x:v>
      </x:c>
      <x:c r="N237" s="14" t="n">
        <x:f>INDEX(Products!$E$2:$E$13,MATCH(G237,Products!$A$2:$A$13,0))</x:f>
        <x:v>245</x:v>
      </x:c>
      <x:c r="O237" s="14" t="n">
        <x:f>K237*M237</x:f>
        <x:v>1950</x:v>
      </x:c>
      <x:c r="P237" s="14" t="n">
        <x:f>O237*(1-L237)</x:f>
        <x:v>1657.5</x:v>
      </x:c>
      <x:c r="Q237" s="14" t="n">
        <x:f>K237*N237</x:f>
        <x:v>1225</x:v>
      </x:c>
      <x:c r="R237" s="14" t="n">
        <x:f>P237-Q237</x:f>
        <x:v>432.5</x:v>
      </x:c>
      <x:c r="S237" s="16" t="n">
        <x:f>IFERROR(R237/P237,0)</x:f>
        <x:v>0.2609351432880845</x:v>
      </x:c>
    </x:row>
    <x:row r="238" ht="15" hidden="0" customHeight="1">
      <x:c r="A238" t="str">
        <x:f>Raw_Orders!A238</x:f>
        <x:v>O0237</x:v>
      </x:c>
      <x:c r="B238" s="10" t="n">
        <x:f>Raw_Orders!B238</x:f>
        <x:v>45737</x:v>
      </x:c>
      <x:c r="C238" t="str">
        <x:f>Raw_Orders!C238</x:f>
        <x:v>C054</x:v>
      </x:c>
      <x:c r="D238" t="str">
        <x:f>INDEX(Customers!$B$2:$B$81,MATCH(C238,Customers!$A$2:$A$81,0))</x:f>
        <x:v>Customer 54</x:v>
      </x:c>
      <x:c r="E238" t="str">
        <x:f>INDEX(Customers!$C$2:$C$81,MATCH(C238,Customers!$A$2:$A$81,0))</x:f>
        <x:v>Small Business</x:v>
      </x:c>
      <x:c r="F238" t="str">
        <x:f>INDEX(Customers!$D$2:$D$81,MATCH(C238,Customers!$A$2:$A$81,0))</x:f>
        <x:v>South</x:v>
      </x:c>
      <x:c r="G238" t="str">
        <x:f>Raw_Orders!D238</x:f>
        <x:v>P011</x:v>
      </x:c>
      <x:c r="H238" t="str">
        <x:f>INDEX(Products!$B$2:$B$13,MATCH(G238,Products!$A$2:$A$13,0))</x:f>
        <x:v>External HDD</x:v>
      </x:c>
      <x:c r="I238" t="str">
        <x:f>INDEX(Products!$C$2:$C$13,MATCH(G238,Products!$A$2:$A$13,0))</x:f>
        <x:v>Storage</x:v>
      </x:c>
      <x:c r="J238" t="str">
        <x:f>Raw_Orders!G238</x:f>
        <x:v>Partner</x:v>
      </x:c>
      <x:c r="K238" t="n">
        <x:f>Raw_Orders!E238</x:f>
        <x:v>1</x:v>
      </x:c>
      <x:c r="L238" s="12" t="n">
        <x:f>Raw_Orders!F238</x:f>
        <x:v>0.05</x:v>
      </x:c>
      <x:c r="M238" s="14" t="n">
        <x:f>INDEX(Products!$D$2:$D$13,MATCH(G238,Products!$A$2:$A$13,0))</x:f>
        <x:v>120</x:v>
      </x:c>
      <x:c r="N238" s="14" t="n">
        <x:f>INDEX(Products!$E$2:$E$13,MATCH(G238,Products!$A$2:$A$13,0))</x:f>
        <x:v>72</x:v>
      </x:c>
      <x:c r="O238" s="14" t="n">
        <x:f>K238*M238</x:f>
        <x:v>120</x:v>
      </x:c>
      <x:c r="P238" s="14" t="n">
        <x:f>O238*(1-L238)</x:f>
        <x:v>114</x:v>
      </x:c>
      <x:c r="Q238" s="14" t="n">
        <x:f>K238*N238</x:f>
        <x:v>72</x:v>
      </x:c>
      <x:c r="R238" s="14" t="n">
        <x:f>P238-Q238</x:f>
        <x:v>42</x:v>
      </x:c>
      <x:c r="S238" s="16" t="n">
        <x:f>IFERROR(R238/P238,0)</x:f>
        <x:v>0.3684210526315789</x:v>
      </x:c>
    </x:row>
    <x:row r="239" ht="15" hidden="0" customHeight="1">
      <x:c r="A239" t="str">
        <x:f>Raw_Orders!A239</x:f>
        <x:v>O0238</x:v>
      </x:c>
      <x:c r="B239" s="10" t="n">
        <x:f>Raw_Orders!B239</x:f>
        <x:v>45866</x:v>
      </x:c>
      <x:c r="C239" t="str">
        <x:f>Raw_Orders!C239</x:f>
        <x:v>C036</x:v>
      </x:c>
      <x:c r="D239" t="str">
        <x:f>INDEX(Customers!$B$2:$B$81,MATCH(C239,Customers!$A$2:$A$81,0))</x:f>
        <x:v>Customer 36</x:v>
      </x:c>
      <x:c r="E239" t="str">
        <x:f>INDEX(Customers!$C$2:$C$81,MATCH(C239,Customers!$A$2:$A$81,0))</x:f>
        <x:v>Small Business</x:v>
      </x:c>
      <x:c r="F239" t="str">
        <x:f>INDEX(Customers!$D$2:$D$81,MATCH(C239,Customers!$A$2:$A$81,0))</x:f>
        <x:v>West</x:v>
      </x:c>
      <x:c r="G239" t="str">
        <x:f>Raw_Orders!D239</x:f>
        <x:v>P001</x:v>
      </x:c>
      <x:c r="H239" t="str">
        <x:f>INDEX(Products!$B$2:$B$13,MATCH(G239,Products!$A$2:$A$13,0))</x:f>
        <x:v>Wireless Headset</x:v>
      </x:c>
      <x:c r="I239" t="str">
        <x:f>INDEX(Products!$C$2:$C$13,MATCH(G239,Products!$A$2:$A$13,0))</x:f>
        <x:v>Accessories</x:v>
      </x:c>
      <x:c r="J239" t="str">
        <x:f>Raw_Orders!G239</x:f>
        <x:v>Online</x:v>
      </x:c>
      <x:c r="K239" t="n">
        <x:f>Raw_Orders!E239</x:f>
        <x:v>6</x:v>
      </x:c>
      <x:c r="L239" s="12" t="n">
        <x:f>Raw_Orders!F239</x:f>
        <x:v>0</x:v>
      </x:c>
      <x:c r="M239" s="14" t="n">
        <x:f>INDEX(Products!$D$2:$D$13,MATCH(G239,Products!$A$2:$A$13,0))</x:f>
        <x:v>85</x:v>
      </x:c>
      <x:c r="N239" s="14" t="n">
        <x:f>INDEX(Products!$E$2:$E$13,MATCH(G239,Products!$A$2:$A$13,0))</x:f>
        <x:v>42</x:v>
      </x:c>
      <x:c r="O239" s="14" t="n">
        <x:f>K239*M239</x:f>
        <x:v>510</x:v>
      </x:c>
      <x:c r="P239" s="14" t="n">
        <x:f>O239*(1-L239)</x:f>
        <x:v>510</x:v>
      </x:c>
      <x:c r="Q239" s="14" t="n">
        <x:f>K239*N239</x:f>
        <x:v>252</x:v>
      </x:c>
      <x:c r="R239" s="14" t="n">
        <x:f>P239-Q239</x:f>
        <x:v>258</x:v>
      </x:c>
      <x:c r="S239" s="16" t="n">
        <x:f>IFERROR(R239/P239,0)</x:f>
        <x:v>0.5058823529411764</x:v>
      </x:c>
    </x:row>
    <x:row r="240" ht="15" hidden="0" customHeight="1">
      <x:c r="A240" t="str">
        <x:f>Raw_Orders!A240</x:f>
        <x:v>O0239</x:v>
      </x:c>
      <x:c r="B240" s="10" t="n">
        <x:f>Raw_Orders!B240</x:f>
        <x:v>45885</x:v>
      </x:c>
      <x:c r="C240" t="str">
        <x:f>Raw_Orders!C240</x:f>
        <x:v>C057</x:v>
      </x:c>
      <x:c r="D240" t="str">
        <x:f>INDEX(Customers!$B$2:$B$81,MATCH(C240,Customers!$A$2:$A$81,0))</x:f>
        <x:v>Customer 57</x:v>
      </x:c>
      <x:c r="E240" t="str">
        <x:f>INDEX(Customers!$C$2:$C$81,MATCH(C240,Customers!$A$2:$A$81,0))</x:f>
        <x:v>Small Business</x:v>
      </x:c>
      <x:c r="F240" t="str">
        <x:f>INDEX(Customers!$D$2:$D$81,MATCH(C240,Customers!$A$2:$A$81,0))</x:f>
        <x:v>North</x:v>
      </x:c>
      <x:c r="G240" t="str">
        <x:f>Raw_Orders!D240</x:f>
        <x:v>P004</x:v>
      </x:c>
      <x:c r="H240" t="str">
        <x:f>INDEX(Products!$B$2:$B$13,MATCH(G240,Products!$A$2:$A$13,0))</x:f>
        <x:v>24in Monitor</x:v>
      </x:c>
      <x:c r="I240" t="str">
        <x:f>INDEX(Products!$C$2:$C$13,MATCH(G240,Products!$A$2:$A$13,0))</x:f>
        <x:v>Displays</x:v>
      </x:c>
      <x:c r="J240" t="str">
        <x:f>Raw_Orders!G240</x:f>
        <x:v>Partner</x:v>
      </x:c>
      <x:c r="K240" t="n">
        <x:f>Raw_Orders!E240</x:f>
        <x:v>3</x:v>
      </x:c>
      <x:c r="L240" s="12" t="n">
        <x:f>Raw_Orders!F240</x:f>
        <x:v>0</x:v>
      </x:c>
      <x:c r="M240" s="14" t="n">
        <x:f>INDEX(Products!$D$2:$D$13,MATCH(G240,Products!$A$2:$A$13,0))</x:f>
        <x:v>220</x:v>
      </x:c>
      <x:c r="N240" s="14" t="n">
        <x:f>INDEX(Products!$E$2:$E$13,MATCH(G240,Products!$A$2:$A$13,0))</x:f>
        <x:v>142</x:v>
      </x:c>
      <x:c r="O240" s="14" t="n">
        <x:f>K240*M240</x:f>
        <x:v>660</x:v>
      </x:c>
      <x:c r="P240" s="14" t="n">
        <x:f>O240*(1-L240)</x:f>
        <x:v>660</x:v>
      </x:c>
      <x:c r="Q240" s="14" t="n">
        <x:f>K240*N240</x:f>
        <x:v>426</x:v>
      </x:c>
      <x:c r="R240" s="14" t="n">
        <x:f>P240-Q240</x:f>
        <x:v>234</x:v>
      </x:c>
      <x:c r="S240" s="16" t="n">
        <x:f>IFERROR(R240/P240,0)</x:f>
        <x:v>0.35454545454545455</x:v>
      </x:c>
    </x:row>
    <x:row r="241" ht="15" hidden="0" customHeight="1">
      <x:c r="A241" t="str">
        <x:f>Raw_Orders!A241</x:f>
        <x:v>O0240</x:v>
      </x:c>
      <x:c r="B241" s="10" t="n">
        <x:f>Raw_Orders!B241</x:f>
        <x:v>45846</x:v>
      </x:c>
      <x:c r="C241" t="str">
        <x:f>Raw_Orders!C241</x:f>
        <x:v>C070</x:v>
      </x:c>
      <x:c r="D241" t="str">
        <x:f>INDEX(Customers!$B$2:$B$81,MATCH(C241,Customers!$A$2:$A$81,0))</x:f>
        <x:v>Customer 70</x:v>
      </x:c>
      <x:c r="E241" t="str">
        <x:f>INDEX(Customers!$C$2:$C$81,MATCH(C241,Customers!$A$2:$A$81,0))</x:f>
        <x:v>Consumer</x:v>
      </x:c>
      <x:c r="F241" t="str">
        <x:f>INDEX(Customers!$D$2:$D$81,MATCH(C241,Customers!$A$2:$A$81,0))</x:f>
        <x:v>South</x:v>
      </x:c>
      <x:c r="G241" t="str">
        <x:f>Raw_Orders!D241</x:f>
        <x:v>P011</x:v>
      </x:c>
      <x:c r="H241" t="str">
        <x:f>INDEX(Products!$B$2:$B$13,MATCH(G241,Products!$A$2:$A$13,0))</x:f>
        <x:v>External HDD</x:v>
      </x:c>
      <x:c r="I241" t="str">
        <x:f>INDEX(Products!$C$2:$C$13,MATCH(G241,Products!$A$2:$A$13,0))</x:f>
        <x:v>Storage</x:v>
      </x:c>
      <x:c r="J241" t="str">
        <x:f>Raw_Orders!G241</x:f>
        <x:v>Retail</x:v>
      </x:c>
      <x:c r="K241" t="n">
        <x:f>Raw_Orders!E241</x:f>
        <x:v>3</x:v>
      </x:c>
      <x:c r="L241" s="12" t="n">
        <x:f>Raw_Orders!F241</x:f>
        <x:v>0</x:v>
      </x:c>
      <x:c r="M241" s="14" t="n">
        <x:f>INDEX(Products!$D$2:$D$13,MATCH(G241,Products!$A$2:$A$13,0))</x:f>
        <x:v>120</x:v>
      </x:c>
      <x:c r="N241" s="14" t="n">
        <x:f>INDEX(Products!$E$2:$E$13,MATCH(G241,Products!$A$2:$A$13,0))</x:f>
        <x:v>72</x:v>
      </x:c>
      <x:c r="O241" s="14" t="n">
        <x:f>K241*M241</x:f>
        <x:v>360</x:v>
      </x:c>
      <x:c r="P241" s="14" t="n">
        <x:f>O241*(1-L241)</x:f>
        <x:v>360</x:v>
      </x:c>
      <x:c r="Q241" s="14" t="n">
        <x:f>K241*N241</x:f>
        <x:v>216</x:v>
      </x:c>
      <x:c r="R241" s="14" t="n">
        <x:f>P241-Q241</x:f>
        <x:v>144</x:v>
      </x:c>
      <x:c r="S241" s="16" t="n">
        <x:f>IFERROR(R241/P241,0)</x:f>
        <x:v>0.4</x:v>
      </x:c>
    </x:row>
    <x:row r="242" ht="15" hidden="0" customHeight="1">
      <x:c r="A242" t="str">
        <x:f>Raw_Orders!A242</x:f>
        <x:v>O0241</x:v>
      </x:c>
      <x:c r="B242" s="10" t="n">
        <x:f>Raw_Orders!B242</x:f>
        <x:v>45799</x:v>
      </x:c>
      <x:c r="C242" t="str">
        <x:f>Raw_Orders!C242</x:f>
        <x:v>C025</x:v>
      </x:c>
      <x:c r="D242" t="str">
        <x:f>INDEX(Customers!$B$2:$B$81,MATCH(C242,Customers!$A$2:$A$81,0))</x:f>
        <x:v>Customer 25</x:v>
      </x:c>
      <x:c r="E242" t="str">
        <x:f>INDEX(Customers!$C$2:$C$81,MATCH(C242,Customers!$A$2:$A$81,0))</x:f>
        <x:v>Consumer</x:v>
      </x:c>
      <x:c r="F242" t="str">
        <x:f>INDEX(Customers!$D$2:$D$81,MATCH(C242,Customers!$A$2:$A$81,0))</x:f>
        <x:v>North</x:v>
      </x:c>
      <x:c r="G242" t="str">
        <x:f>Raw_Orders!D242</x:f>
        <x:v>P002</x:v>
      </x:c>
      <x:c r="H242" t="str">
        <x:f>INDEX(Products!$B$2:$B$13,MATCH(G242,Products!$A$2:$A$13,0))</x:f>
        <x:v>Mechanical Keyboard</x:v>
      </x:c>
      <x:c r="I242" t="str">
        <x:f>INDEX(Products!$C$2:$C$13,MATCH(G242,Products!$A$2:$A$13,0))</x:f>
        <x:v>Accessories</x:v>
      </x:c>
      <x:c r="J242" t="str">
        <x:f>Raw_Orders!G242</x:f>
        <x:v>Partner</x:v>
      </x:c>
      <x:c r="K242" t="n">
        <x:f>Raw_Orders!E242</x:f>
        <x:v>4</x:v>
      </x:c>
      <x:c r="L242" s="12" t="n">
        <x:f>Raw_Orders!F242</x:f>
        <x:v>0</x:v>
      </x:c>
      <x:c r="M242" s="14" t="n">
        <x:f>INDEX(Products!$D$2:$D$13,MATCH(G242,Products!$A$2:$A$13,0))</x:f>
        <x:v>110</x:v>
      </x:c>
      <x:c r="N242" s="14" t="n">
        <x:f>INDEX(Products!$E$2:$E$13,MATCH(G242,Products!$A$2:$A$13,0))</x:f>
        <x:v>58</x:v>
      </x:c>
      <x:c r="O242" s="14" t="n">
        <x:f>K242*M242</x:f>
        <x:v>440</x:v>
      </x:c>
      <x:c r="P242" s="14" t="n">
        <x:f>O242*(1-L242)</x:f>
        <x:v>440</x:v>
      </x:c>
      <x:c r="Q242" s="14" t="n">
        <x:f>K242*N242</x:f>
        <x:v>232</x:v>
      </x:c>
      <x:c r="R242" s="14" t="n">
        <x:f>P242-Q242</x:f>
        <x:v>208</x:v>
      </x:c>
      <x:c r="S242" s="16" t="n">
        <x:f>IFERROR(R242/P242,0)</x:f>
        <x:v>0.4727272727272727</x:v>
      </x:c>
    </x:row>
    <x:row r="243" ht="15" hidden="0" customHeight="1">
      <x:c r="A243" t="str">
        <x:f>Raw_Orders!A243</x:f>
        <x:v>O0242</x:v>
      </x:c>
      <x:c r="B243" s="10" t="n">
        <x:f>Raw_Orders!B243</x:f>
        <x:v>45766</x:v>
      </x:c>
      <x:c r="C243" t="str">
        <x:f>Raw_Orders!C243</x:f>
        <x:v>C077</x:v>
      </x:c>
      <x:c r="D243" t="str">
        <x:f>INDEX(Customers!$B$2:$B$81,MATCH(C243,Customers!$A$2:$A$81,0))</x:f>
        <x:v>Customer 77</x:v>
      </x:c>
      <x:c r="E243" t="str">
        <x:f>INDEX(Customers!$C$2:$C$81,MATCH(C243,Customers!$A$2:$A$81,0))</x:f>
        <x:v>Corporate</x:v>
      </x:c>
      <x:c r="F243" t="str">
        <x:f>INDEX(Customers!$D$2:$D$81,MATCH(C243,Customers!$A$2:$A$81,0))</x:f>
        <x:v>North</x:v>
      </x:c>
      <x:c r="G243" t="str">
        <x:f>Raw_Orders!D243</x:f>
        <x:v>P001</x:v>
      </x:c>
      <x:c r="H243" t="str">
        <x:f>INDEX(Products!$B$2:$B$13,MATCH(G243,Products!$A$2:$A$13,0))</x:f>
        <x:v>Wireless Headset</x:v>
      </x:c>
      <x:c r="I243" t="str">
        <x:f>INDEX(Products!$C$2:$C$13,MATCH(G243,Products!$A$2:$A$13,0))</x:f>
        <x:v>Accessories</x:v>
      </x:c>
      <x:c r="J243" t="str">
        <x:f>Raw_Orders!G243</x:f>
        <x:v>Online</x:v>
      </x:c>
      <x:c r="K243" t="n">
        <x:f>Raw_Orders!E243</x:f>
        <x:v>1</x:v>
      </x:c>
      <x:c r="L243" s="12" t="n">
        <x:f>Raw_Orders!F243</x:f>
        <x:v>0</x:v>
      </x:c>
      <x:c r="M243" s="14" t="n">
        <x:f>INDEX(Products!$D$2:$D$13,MATCH(G243,Products!$A$2:$A$13,0))</x:f>
        <x:v>85</x:v>
      </x:c>
      <x:c r="N243" s="14" t="n">
        <x:f>INDEX(Products!$E$2:$E$13,MATCH(G243,Products!$A$2:$A$13,0))</x:f>
        <x:v>42</x:v>
      </x:c>
      <x:c r="O243" s="14" t="n">
        <x:f>K243*M243</x:f>
        <x:v>85</x:v>
      </x:c>
      <x:c r="P243" s="14" t="n">
        <x:f>O243*(1-L243)</x:f>
        <x:v>85</x:v>
      </x:c>
      <x:c r="Q243" s="14" t="n">
        <x:f>K243*N243</x:f>
        <x:v>42</x:v>
      </x:c>
      <x:c r="R243" s="14" t="n">
        <x:f>P243-Q243</x:f>
        <x:v>43</x:v>
      </x:c>
      <x:c r="S243" s="16" t="n">
        <x:f>IFERROR(R243/P243,0)</x:f>
        <x:v>0.5058823529411764</x:v>
      </x:c>
    </x:row>
    <x:row r="244" ht="15" hidden="0" customHeight="1">
      <x:c r="A244" t="str">
        <x:f>Raw_Orders!A244</x:f>
        <x:v>O0243</x:v>
      </x:c>
      <x:c r="B244" s="10" t="n">
        <x:f>Raw_Orders!B244</x:f>
        <x:v>45722</x:v>
      </x:c>
      <x:c r="C244" t="str">
        <x:f>Raw_Orders!C244</x:f>
        <x:v>C073</x:v>
      </x:c>
      <x:c r="D244" t="str">
        <x:f>INDEX(Customers!$B$2:$B$81,MATCH(C244,Customers!$A$2:$A$81,0))</x:f>
        <x:v>Customer 73</x:v>
      </x:c>
      <x:c r="E244" t="str">
        <x:f>INDEX(Customers!$C$2:$C$81,MATCH(C244,Customers!$A$2:$A$81,0))</x:f>
        <x:v>Consumer</x:v>
      </x:c>
      <x:c r="F244" t="str">
        <x:f>INDEX(Customers!$D$2:$D$81,MATCH(C244,Customers!$A$2:$A$81,0))</x:f>
        <x:v>North</x:v>
      </x:c>
      <x:c r="G244" t="str">
        <x:f>Raw_Orders!D244</x:f>
        <x:v>P004</x:v>
      </x:c>
      <x:c r="H244" t="str">
        <x:f>INDEX(Products!$B$2:$B$13,MATCH(G244,Products!$A$2:$A$13,0))</x:f>
        <x:v>24in Monitor</x:v>
      </x:c>
      <x:c r="I244" t="str">
        <x:f>INDEX(Products!$C$2:$C$13,MATCH(G244,Products!$A$2:$A$13,0))</x:f>
        <x:v>Displays</x:v>
      </x:c>
      <x:c r="J244" t="str">
        <x:f>Raw_Orders!G244</x:f>
        <x:v>Online</x:v>
      </x:c>
      <x:c r="K244" t="n">
        <x:f>Raw_Orders!E244</x:f>
        <x:v>1</x:v>
      </x:c>
      <x:c r="L244" s="12" t="n">
        <x:f>Raw_Orders!F244</x:f>
        <x:v>0.1</x:v>
      </x:c>
      <x:c r="M244" s="14" t="n">
        <x:f>INDEX(Products!$D$2:$D$13,MATCH(G244,Products!$A$2:$A$13,0))</x:f>
        <x:v>220</x:v>
      </x:c>
      <x:c r="N244" s="14" t="n">
        <x:f>INDEX(Products!$E$2:$E$13,MATCH(G244,Products!$A$2:$A$13,0))</x:f>
        <x:v>142</x:v>
      </x:c>
      <x:c r="O244" s="14" t="n">
        <x:f>K244*M244</x:f>
        <x:v>220</x:v>
      </x:c>
      <x:c r="P244" s="14" t="n">
        <x:f>O244*(1-L244)</x:f>
        <x:v>198</x:v>
      </x:c>
      <x:c r="Q244" s="14" t="n">
        <x:f>K244*N244</x:f>
        <x:v>142</x:v>
      </x:c>
      <x:c r="R244" s="14" t="n">
        <x:f>P244-Q244</x:f>
        <x:v>56</x:v>
      </x:c>
      <x:c r="S244" s="16" t="n">
        <x:f>IFERROR(R244/P244,0)</x:f>
        <x:v>0.2828282828282828</x:v>
      </x:c>
    </x:row>
    <x:row r="245" ht="15" hidden="0" customHeight="1">
      <x:c r="A245" t="str">
        <x:f>Raw_Orders!A245</x:f>
        <x:v>O0244</x:v>
      </x:c>
      <x:c r="B245" s="10" t="n">
        <x:f>Raw_Orders!B245</x:f>
        <x:v>45958</x:v>
      </x:c>
      <x:c r="C245" t="str">
        <x:f>Raw_Orders!C245</x:f>
        <x:v>C028</x:v>
      </x:c>
      <x:c r="D245" t="str">
        <x:f>INDEX(Customers!$B$2:$B$81,MATCH(C245,Customers!$A$2:$A$81,0))</x:f>
        <x:v>Customer 28</x:v>
      </x:c>
      <x:c r="E245" t="str">
        <x:f>INDEX(Customers!$C$2:$C$81,MATCH(C245,Customers!$A$2:$A$81,0))</x:f>
        <x:v>Consumer</x:v>
      </x:c>
      <x:c r="F245" t="str">
        <x:f>INDEX(Customers!$D$2:$D$81,MATCH(C245,Customers!$A$2:$A$81,0))</x:f>
        <x:v>West</x:v>
      </x:c>
      <x:c r="G245" t="str">
        <x:f>Raw_Orders!D245</x:f>
        <x:v>P004</x:v>
      </x:c>
      <x:c r="H245" t="str">
        <x:f>INDEX(Products!$B$2:$B$13,MATCH(G245,Products!$A$2:$A$13,0))</x:f>
        <x:v>24in Monitor</x:v>
      </x:c>
      <x:c r="I245" t="str">
        <x:f>INDEX(Products!$C$2:$C$13,MATCH(G245,Products!$A$2:$A$13,0))</x:f>
        <x:v>Displays</x:v>
      </x:c>
      <x:c r="J245" t="str">
        <x:f>Raw_Orders!G245</x:f>
        <x:v>Partner</x:v>
      </x:c>
      <x:c r="K245" t="n">
        <x:f>Raw_Orders!E245</x:f>
        <x:v>3</x:v>
      </x:c>
      <x:c r="L245" s="12" t="n">
        <x:f>Raw_Orders!F245</x:f>
        <x:v>0</x:v>
      </x:c>
      <x:c r="M245" s="14" t="n">
        <x:f>INDEX(Products!$D$2:$D$13,MATCH(G245,Products!$A$2:$A$13,0))</x:f>
        <x:v>220</x:v>
      </x:c>
      <x:c r="N245" s="14" t="n">
        <x:f>INDEX(Products!$E$2:$E$13,MATCH(G245,Products!$A$2:$A$13,0))</x:f>
        <x:v>142</x:v>
      </x:c>
      <x:c r="O245" s="14" t="n">
        <x:f>K245*M245</x:f>
        <x:v>660</x:v>
      </x:c>
      <x:c r="P245" s="14" t="n">
        <x:f>O245*(1-L245)</x:f>
        <x:v>660</x:v>
      </x:c>
      <x:c r="Q245" s="14" t="n">
        <x:f>K245*N245</x:f>
        <x:v>426</x:v>
      </x:c>
      <x:c r="R245" s="14" t="n">
        <x:f>P245-Q245</x:f>
        <x:v>234</x:v>
      </x:c>
      <x:c r="S245" s="16" t="n">
        <x:f>IFERROR(R245/P245,0)</x:f>
        <x:v>0.35454545454545455</x:v>
      </x:c>
    </x:row>
    <x:row r="246" ht="15" hidden="0" customHeight="1">
      <x:c r="A246" t="str">
        <x:f>Raw_Orders!A246</x:f>
        <x:v>O0245</x:v>
      </x:c>
      <x:c r="B246" s="10" t="n">
        <x:f>Raw_Orders!B246</x:f>
        <x:v>45659</x:v>
      </x:c>
      <x:c r="C246" t="str">
        <x:f>Raw_Orders!C246</x:f>
        <x:v>C036</x:v>
      </x:c>
      <x:c r="D246" t="str">
        <x:f>INDEX(Customers!$B$2:$B$81,MATCH(C246,Customers!$A$2:$A$81,0))</x:f>
        <x:v>Customer 36</x:v>
      </x:c>
      <x:c r="E246" t="str">
        <x:f>INDEX(Customers!$C$2:$C$81,MATCH(C246,Customers!$A$2:$A$81,0))</x:f>
        <x:v>Small Business</x:v>
      </x:c>
      <x:c r="F246" t="str">
        <x:f>INDEX(Customers!$D$2:$D$81,MATCH(C246,Customers!$A$2:$A$81,0))</x:f>
        <x:v>West</x:v>
      </x:c>
      <x:c r="G246" t="str">
        <x:f>Raw_Orders!D246</x:f>
        <x:v>P003</x:v>
      </x:c>
      <x:c r="H246" t="str">
        <x:f>INDEX(Products!$B$2:$B$13,MATCH(G246,Products!$A$2:$A$13,0))</x:f>
        <x:v>USB-C Hub</x:v>
      </x:c>
      <x:c r="I246" t="str">
        <x:f>INDEX(Products!$C$2:$C$13,MATCH(G246,Products!$A$2:$A$13,0))</x:f>
        <x:v>Accessories</x:v>
      </x:c>
      <x:c r="J246" t="str">
        <x:f>Raw_Orders!G246</x:f>
        <x:v>Retail</x:v>
      </x:c>
      <x:c r="K246" t="n">
        <x:f>Raw_Orders!E246</x:f>
        <x:v>2</x:v>
      </x:c>
      <x:c r="L246" s="12" t="n">
        <x:f>Raw_Orders!F246</x:f>
        <x:v>0.1</x:v>
      </x:c>
      <x:c r="M246" s="14" t="n">
        <x:f>INDEX(Products!$D$2:$D$13,MATCH(G246,Products!$A$2:$A$13,0))</x:f>
        <x:v>65</x:v>
      </x:c>
      <x:c r="N246" s="14" t="n">
        <x:f>INDEX(Products!$E$2:$E$13,MATCH(G246,Products!$A$2:$A$13,0))</x:f>
        <x:v>31</x:v>
      </x:c>
      <x:c r="O246" s="14" t="n">
        <x:f>K246*M246</x:f>
        <x:v>130</x:v>
      </x:c>
      <x:c r="P246" s="14" t="n">
        <x:f>O246*(1-L246)</x:f>
        <x:v>117</x:v>
      </x:c>
      <x:c r="Q246" s="14" t="n">
        <x:f>K246*N246</x:f>
        <x:v>62</x:v>
      </x:c>
      <x:c r="R246" s="14" t="n">
        <x:f>P246-Q246</x:f>
        <x:v>55</x:v>
      </x:c>
      <x:c r="S246" s="16" t="n">
        <x:f>IFERROR(R246/P246,0)</x:f>
        <x:v>0.4700854700854701</x:v>
      </x:c>
    </x:row>
    <x:row r="247" ht="15" hidden="0" customHeight="1">
      <x:c r="A247" t="str">
        <x:f>Raw_Orders!A247</x:f>
        <x:v>O0246</x:v>
      </x:c>
      <x:c r="B247" s="10" t="n">
        <x:f>Raw_Orders!B247</x:f>
        <x:v>45747</x:v>
      </x:c>
      <x:c r="C247" t="str">
        <x:f>Raw_Orders!C247</x:f>
        <x:v>C015</x:v>
      </x:c>
      <x:c r="D247" t="str">
        <x:f>INDEX(Customers!$B$2:$B$81,MATCH(C247,Customers!$A$2:$A$81,0))</x:f>
        <x:v>Customer 15</x:v>
      </x:c>
      <x:c r="E247" t="str">
        <x:f>INDEX(Customers!$C$2:$C$81,MATCH(C247,Customers!$A$2:$A$81,0))</x:f>
        <x:v>Small Business</x:v>
      </x:c>
      <x:c r="F247" t="str">
        <x:f>INDEX(Customers!$D$2:$D$81,MATCH(C247,Customers!$A$2:$A$81,0))</x:f>
        <x:v>East</x:v>
      </x:c>
      <x:c r="G247" t="str">
        <x:f>Raw_Orders!D247</x:f>
        <x:v>P011</x:v>
      </x:c>
      <x:c r="H247" t="str">
        <x:f>INDEX(Products!$B$2:$B$13,MATCH(G247,Products!$A$2:$A$13,0))</x:f>
        <x:v>External HDD</x:v>
      </x:c>
      <x:c r="I247" t="str">
        <x:f>INDEX(Products!$C$2:$C$13,MATCH(G247,Products!$A$2:$A$13,0))</x:f>
        <x:v>Storage</x:v>
      </x:c>
      <x:c r="J247" t="str">
        <x:f>Raw_Orders!G247</x:f>
        <x:v>Online</x:v>
      </x:c>
      <x:c r="K247" t="n">
        <x:f>Raw_Orders!E247</x:f>
        <x:v>1</x:v>
      </x:c>
      <x:c r="L247" s="12" t="n">
        <x:f>Raw_Orders!F247</x:f>
        <x:v>0</x:v>
      </x:c>
      <x:c r="M247" s="14" t="n">
        <x:f>INDEX(Products!$D$2:$D$13,MATCH(G247,Products!$A$2:$A$13,0))</x:f>
        <x:v>120</x:v>
      </x:c>
      <x:c r="N247" s="14" t="n">
        <x:f>INDEX(Products!$E$2:$E$13,MATCH(G247,Products!$A$2:$A$13,0))</x:f>
        <x:v>72</x:v>
      </x:c>
      <x:c r="O247" s="14" t="n">
        <x:f>K247*M247</x:f>
        <x:v>120</x:v>
      </x:c>
      <x:c r="P247" s="14" t="n">
        <x:f>O247*(1-L247)</x:f>
        <x:v>120</x:v>
      </x:c>
      <x:c r="Q247" s="14" t="n">
        <x:f>K247*N247</x:f>
        <x:v>72</x:v>
      </x:c>
      <x:c r="R247" s="14" t="n">
        <x:f>P247-Q247</x:f>
        <x:v>48</x:v>
      </x:c>
      <x:c r="S247" s="16" t="n">
        <x:f>IFERROR(R247/P247,0)</x:f>
        <x:v>0.4</x:v>
      </x:c>
    </x:row>
    <x:row r="248" ht="15" hidden="0" customHeight="1">
      <x:c r="A248" t="str">
        <x:f>Raw_Orders!A248</x:f>
        <x:v>O0247</x:v>
      </x:c>
      <x:c r="B248" s="10" t="n">
        <x:f>Raw_Orders!B248</x:f>
        <x:v>45841</x:v>
      </x:c>
      <x:c r="C248" t="str">
        <x:f>Raw_Orders!C248</x:f>
        <x:v>C031</x:v>
      </x:c>
      <x:c r="D248" t="str">
        <x:f>INDEX(Customers!$B$2:$B$81,MATCH(C248,Customers!$A$2:$A$81,0))</x:f>
        <x:v>Customer 31</x:v>
      </x:c>
      <x:c r="E248" t="str">
        <x:f>INDEX(Customers!$C$2:$C$81,MATCH(C248,Customers!$A$2:$A$81,0))</x:f>
        <x:v>Consumer</x:v>
      </x:c>
      <x:c r="F248" t="str">
        <x:f>INDEX(Customers!$D$2:$D$81,MATCH(C248,Customers!$A$2:$A$81,0))</x:f>
        <x:v>East</x:v>
      </x:c>
      <x:c r="G248" t="str">
        <x:f>Raw_Orders!D248</x:f>
        <x:v>P010</x:v>
      </x:c>
      <x:c r="H248" t="str">
        <x:f>INDEX(Products!$B$2:$B$13,MATCH(G248,Products!$A$2:$A$13,0))</x:f>
        <x:v>Portable SSD</x:v>
      </x:c>
      <x:c r="I248" t="str">
        <x:f>INDEX(Products!$C$2:$C$13,MATCH(G248,Products!$A$2:$A$13,0))</x:f>
        <x:v>Storage</x:v>
      </x:c>
      <x:c r="J248" t="str">
        <x:f>Raw_Orders!G248</x:f>
        <x:v>Online</x:v>
      </x:c>
      <x:c r="K248" t="n">
        <x:f>Raw_Orders!E248</x:f>
        <x:v>3</x:v>
      </x:c>
      <x:c r="L248" s="12" t="n">
        <x:f>Raw_Orders!F248</x:f>
        <x:v>0</x:v>
      </x:c>
      <x:c r="M248" s="14" t="n">
        <x:f>INDEX(Products!$D$2:$D$13,MATCH(G248,Products!$A$2:$A$13,0))</x:f>
        <x:v>145</x:v>
      </x:c>
      <x:c r="N248" s="14" t="n">
        <x:f>INDEX(Products!$E$2:$E$13,MATCH(G248,Products!$A$2:$A$13,0))</x:f>
        <x:v>86</x:v>
      </x:c>
      <x:c r="O248" s="14" t="n">
        <x:f>K248*M248</x:f>
        <x:v>435</x:v>
      </x:c>
      <x:c r="P248" s="14" t="n">
        <x:f>O248*(1-L248)</x:f>
        <x:v>435</x:v>
      </x:c>
      <x:c r="Q248" s="14" t="n">
        <x:f>K248*N248</x:f>
        <x:v>258</x:v>
      </x:c>
      <x:c r="R248" s="14" t="n">
        <x:f>P248-Q248</x:f>
        <x:v>177</x:v>
      </x:c>
      <x:c r="S248" s="16" t="n">
        <x:f>IFERROR(R248/P248,0)</x:f>
        <x:v>0.4068965517241379</x:v>
      </x:c>
    </x:row>
    <x:row r="249" ht="15" hidden="0" customHeight="1">
      <x:c r="A249" t="str">
        <x:f>Raw_Orders!A249</x:f>
        <x:v>O0248</x:v>
      </x:c>
      <x:c r="B249" s="10" t="n">
        <x:f>Raw_Orders!B249</x:f>
        <x:v>45793</x:v>
      </x:c>
      <x:c r="C249" t="str">
        <x:f>Raw_Orders!C249</x:f>
        <x:v>C007</x:v>
      </x:c>
      <x:c r="D249" t="str">
        <x:f>INDEX(Customers!$B$2:$B$81,MATCH(C249,Customers!$A$2:$A$81,0))</x:f>
        <x:v>Customer 07</x:v>
      </x:c>
      <x:c r="E249" t="str">
        <x:f>INDEX(Customers!$C$2:$C$81,MATCH(C249,Customers!$A$2:$A$81,0))</x:f>
        <x:v>Consumer</x:v>
      </x:c>
      <x:c r="F249" t="str">
        <x:f>INDEX(Customers!$D$2:$D$81,MATCH(C249,Customers!$A$2:$A$81,0))</x:f>
        <x:v>East</x:v>
      </x:c>
      <x:c r="G249" t="str">
        <x:f>Raw_Orders!D249</x:f>
        <x:v>P003</x:v>
      </x:c>
      <x:c r="H249" t="str">
        <x:f>INDEX(Products!$B$2:$B$13,MATCH(G249,Products!$A$2:$A$13,0))</x:f>
        <x:v>USB-C Hub</x:v>
      </x:c>
      <x:c r="I249" t="str">
        <x:f>INDEX(Products!$C$2:$C$13,MATCH(G249,Products!$A$2:$A$13,0))</x:f>
        <x:v>Accessories</x:v>
      </x:c>
      <x:c r="J249" t="str">
        <x:f>Raw_Orders!G249</x:f>
        <x:v>Partner</x:v>
      </x:c>
      <x:c r="K249" t="n">
        <x:f>Raw_Orders!E249</x:f>
        <x:v>6</x:v>
      </x:c>
      <x:c r="L249" s="12" t="n">
        <x:f>Raw_Orders!F249</x:f>
        <x:v>0.05</x:v>
      </x:c>
      <x:c r="M249" s="14" t="n">
        <x:f>INDEX(Products!$D$2:$D$13,MATCH(G249,Products!$A$2:$A$13,0))</x:f>
        <x:v>65</x:v>
      </x:c>
      <x:c r="N249" s="14" t="n">
        <x:f>INDEX(Products!$E$2:$E$13,MATCH(G249,Products!$A$2:$A$13,0))</x:f>
        <x:v>31</x:v>
      </x:c>
      <x:c r="O249" s="14" t="n">
        <x:f>K249*M249</x:f>
        <x:v>390</x:v>
      </x:c>
      <x:c r="P249" s="14" t="n">
        <x:f>O249*(1-L249)</x:f>
        <x:v>370.5</x:v>
      </x:c>
      <x:c r="Q249" s="14" t="n">
        <x:f>K249*N249</x:f>
        <x:v>186</x:v>
      </x:c>
      <x:c r="R249" s="14" t="n">
        <x:f>P249-Q249</x:f>
        <x:v>184.5</x:v>
      </x:c>
      <x:c r="S249" s="16" t="n">
        <x:f>IFERROR(R249/P249,0)</x:f>
        <x:v>0.4979757085020243</x:v>
      </x:c>
    </x:row>
    <x:row r="250" ht="15" hidden="0" customHeight="1">
      <x:c r="A250" t="str">
        <x:f>Raw_Orders!A250</x:f>
        <x:v>O0249</x:v>
      </x:c>
      <x:c r="B250" s="10" t="n">
        <x:f>Raw_Orders!B250</x:f>
        <x:v>45716</x:v>
      </x:c>
      <x:c r="C250" t="str">
        <x:f>Raw_Orders!C250</x:f>
        <x:v>C009</x:v>
      </x:c>
      <x:c r="D250" t="str">
        <x:f>INDEX(Customers!$B$2:$B$81,MATCH(C250,Customers!$A$2:$A$81,0))</x:f>
        <x:v>Customer 09</x:v>
      </x:c>
      <x:c r="E250" t="str">
        <x:f>INDEX(Customers!$C$2:$C$81,MATCH(C250,Customers!$A$2:$A$81,0))</x:f>
        <x:v>Small Business</x:v>
      </x:c>
      <x:c r="F250" t="str">
        <x:f>INDEX(Customers!$D$2:$D$81,MATCH(C250,Customers!$A$2:$A$81,0))</x:f>
        <x:v>North</x:v>
      </x:c>
      <x:c r="G250" t="str">
        <x:f>Raw_Orders!D250</x:f>
        <x:v>P008</x:v>
      </x:c>
      <x:c r="H250" t="str">
        <x:f>INDEX(Products!$B$2:$B$13,MATCH(G250,Products!$A$2:$A$13,0))</x:f>
        <x:v>Webcam</x:v>
      </x:c>
      <x:c r="I250" t="str">
        <x:f>INDEX(Products!$C$2:$C$13,MATCH(G250,Products!$A$2:$A$13,0))</x:f>
        <x:v>Accessories</x:v>
      </x:c>
      <x:c r="J250" t="str">
        <x:f>Raw_Orders!G250</x:f>
        <x:v>Partner</x:v>
      </x:c>
      <x:c r="K250" t="n">
        <x:f>Raw_Orders!E250</x:f>
        <x:v>4</x:v>
      </x:c>
      <x:c r="L250" s="12" t="n">
        <x:f>Raw_Orders!F250</x:f>
        <x:v>0</x:v>
      </x:c>
      <x:c r="M250" s="14" t="n">
        <x:f>INDEX(Products!$D$2:$D$13,MATCH(G250,Products!$A$2:$A$13,0))</x:f>
        <x:v>95</x:v>
      </x:c>
      <x:c r="N250" s="14" t="n">
        <x:f>INDEX(Products!$E$2:$E$13,MATCH(G250,Products!$A$2:$A$13,0))</x:f>
        <x:v>49</x:v>
      </x:c>
      <x:c r="O250" s="14" t="n">
        <x:f>K250*M250</x:f>
        <x:v>380</x:v>
      </x:c>
      <x:c r="P250" s="14" t="n">
        <x:f>O250*(1-L250)</x:f>
        <x:v>380</x:v>
      </x:c>
      <x:c r="Q250" s="14" t="n">
        <x:f>K250*N250</x:f>
        <x:v>196</x:v>
      </x:c>
      <x:c r="R250" s="14" t="n">
        <x:f>P250-Q250</x:f>
        <x:v>184</x:v>
      </x:c>
      <x:c r="S250" s="16" t="n">
        <x:f>IFERROR(R250/P250,0)</x:f>
        <x:v>0.4842105263157895</x:v>
      </x:c>
    </x:row>
    <x:row r="251" ht="15" hidden="0" customHeight="1">
      <x:c r="A251" t="str">
        <x:f>Raw_Orders!A251</x:f>
        <x:v>O0250</x:v>
      </x:c>
      <x:c r="B251" s="10" t="n">
        <x:f>Raw_Orders!B251</x:f>
        <x:v>45961</x:v>
      </x:c>
      <x:c r="C251" t="str">
        <x:f>Raw_Orders!C251</x:f>
        <x:v>C014</x:v>
      </x:c>
      <x:c r="D251" t="str">
        <x:f>INDEX(Customers!$B$2:$B$81,MATCH(C251,Customers!$A$2:$A$81,0))</x:f>
        <x:v>Customer 14</x:v>
      </x:c>
      <x:c r="E251" t="str">
        <x:f>INDEX(Customers!$C$2:$C$81,MATCH(C251,Customers!$A$2:$A$81,0))</x:f>
        <x:v>Corporate</x:v>
      </x:c>
      <x:c r="F251" t="str">
        <x:f>INDEX(Customers!$D$2:$D$81,MATCH(C251,Customers!$A$2:$A$81,0))</x:f>
        <x:v>South</x:v>
      </x:c>
      <x:c r="G251" t="str">
        <x:f>Raw_Orders!D251</x:f>
        <x:v>P008</x:v>
      </x:c>
      <x:c r="H251" t="str">
        <x:f>INDEX(Products!$B$2:$B$13,MATCH(G251,Products!$A$2:$A$13,0))</x:f>
        <x:v>Webcam</x:v>
      </x:c>
      <x:c r="I251" t="str">
        <x:f>INDEX(Products!$C$2:$C$13,MATCH(G251,Products!$A$2:$A$13,0))</x:f>
        <x:v>Accessories</x:v>
      </x:c>
      <x:c r="J251" t="str">
        <x:f>Raw_Orders!G251</x:f>
        <x:v>Partner</x:v>
      </x:c>
      <x:c r="K251" t="n">
        <x:f>Raw_Orders!E251</x:f>
        <x:v>5</x:v>
      </x:c>
      <x:c r="L251" s="12" t="n">
        <x:f>Raw_Orders!F251</x:f>
        <x:v>0</x:v>
      </x:c>
      <x:c r="M251" s="14" t="n">
        <x:f>INDEX(Products!$D$2:$D$13,MATCH(G251,Products!$A$2:$A$13,0))</x:f>
        <x:v>95</x:v>
      </x:c>
      <x:c r="N251" s="14" t="n">
        <x:f>INDEX(Products!$E$2:$E$13,MATCH(G251,Products!$A$2:$A$13,0))</x:f>
        <x:v>49</x:v>
      </x:c>
      <x:c r="O251" s="14" t="n">
        <x:f>K251*M251</x:f>
        <x:v>475</x:v>
      </x:c>
      <x:c r="P251" s="14" t="n">
        <x:f>O251*(1-L251)</x:f>
        <x:v>475</x:v>
      </x:c>
      <x:c r="Q251" s="14" t="n">
        <x:f>K251*N251</x:f>
        <x:v>245</x:v>
      </x:c>
      <x:c r="R251" s="14" t="n">
        <x:f>P251-Q251</x:f>
        <x:v>230</x:v>
      </x:c>
      <x:c r="S251" s="16" t="n">
        <x:f>IFERROR(R251/P251,0)</x:f>
        <x:v>0.4842105263157895</x:v>
      </x:c>
    </x:row>
    <x:row r="252" ht="15" hidden="0" customHeight="1">
      <x:c r="A252" t="str">
        <x:f>Raw_Orders!A252</x:f>
        <x:v>O0251</x:v>
      </x:c>
      <x:c r="B252" s="10" t="n">
        <x:f>Raw_Orders!B252</x:f>
        <x:v>45680</x:v>
      </x:c>
      <x:c r="C252" t="str">
        <x:f>Raw_Orders!C252</x:f>
        <x:v>C067</x:v>
      </x:c>
      <x:c r="D252" t="str">
        <x:f>INDEX(Customers!$B$2:$B$81,MATCH(C252,Customers!$A$2:$A$81,0))</x:f>
        <x:v>Customer 67</x:v>
      </x:c>
      <x:c r="E252" t="str">
        <x:f>INDEX(Customers!$C$2:$C$81,MATCH(C252,Customers!$A$2:$A$81,0))</x:f>
        <x:v>Consumer</x:v>
      </x:c>
      <x:c r="F252" t="str">
        <x:f>INDEX(Customers!$D$2:$D$81,MATCH(C252,Customers!$A$2:$A$81,0))</x:f>
        <x:v>East</x:v>
      </x:c>
      <x:c r="G252" t="str">
        <x:f>Raw_Orders!D252</x:f>
        <x:v>P005</x:v>
      </x:c>
      <x:c r="H252" t="str">
        <x:f>INDEX(Products!$B$2:$B$13,MATCH(G252,Products!$A$2:$A$13,0))</x:f>
        <x:v>27in Monitor</x:v>
      </x:c>
      <x:c r="I252" t="str">
        <x:f>INDEX(Products!$C$2:$C$13,MATCH(G252,Products!$A$2:$A$13,0))</x:f>
        <x:v>Displays</x:v>
      </x:c>
      <x:c r="J252" t="str">
        <x:f>Raw_Orders!G252</x:f>
        <x:v>Online</x:v>
      </x:c>
      <x:c r="K252" t="n">
        <x:f>Raw_Orders!E252</x:f>
        <x:v>4</x:v>
      </x:c>
      <x:c r="L252" s="12" t="n">
        <x:f>Raw_Orders!F252</x:f>
        <x:v>0.15</x:v>
      </x:c>
      <x:c r="M252" s="14" t="n">
        <x:f>INDEX(Products!$D$2:$D$13,MATCH(G252,Products!$A$2:$A$13,0))</x:f>
        <x:v>310</x:v>
      </x:c>
      <x:c r="N252" s="14" t="n">
        <x:f>INDEX(Products!$E$2:$E$13,MATCH(G252,Products!$A$2:$A$13,0))</x:f>
        <x:v>205</x:v>
      </x:c>
      <x:c r="O252" s="14" t="n">
        <x:f>K252*M252</x:f>
        <x:v>1240</x:v>
      </x:c>
      <x:c r="P252" s="14" t="n">
        <x:f>O252*(1-L252)</x:f>
        <x:v>1054</x:v>
      </x:c>
      <x:c r="Q252" s="14" t="n">
        <x:f>K252*N252</x:f>
        <x:v>820</x:v>
      </x:c>
      <x:c r="R252" s="14" t="n">
        <x:f>P252-Q252</x:f>
        <x:v>234</x:v>
      </x:c>
      <x:c r="S252" s="16" t="n">
        <x:f>IFERROR(R252/P252,0)</x:f>
        <x:v>0.222011385199241</x:v>
      </x:c>
    </x:row>
    <x:row r="253" ht="15" hidden="0" customHeight="1">
      <x:c r="A253" t="str">
        <x:f>Raw_Orders!A253</x:f>
        <x:v>O0252</x:v>
      </x:c>
      <x:c r="B253" s="10" t="n">
        <x:f>Raw_Orders!B253</x:f>
        <x:v>45689</x:v>
      </x:c>
      <x:c r="C253" t="str">
        <x:f>Raw_Orders!C253</x:f>
        <x:v>C062</x:v>
      </x:c>
      <x:c r="D253" t="str">
        <x:f>INDEX(Customers!$B$2:$B$81,MATCH(C253,Customers!$A$2:$A$81,0))</x:f>
        <x:v>Customer 62</x:v>
      </x:c>
      <x:c r="E253" t="str">
        <x:f>INDEX(Customers!$C$2:$C$81,MATCH(C253,Customers!$A$2:$A$81,0))</x:f>
        <x:v>Corporate</x:v>
      </x:c>
      <x:c r="F253" t="str">
        <x:f>INDEX(Customers!$D$2:$D$81,MATCH(C253,Customers!$A$2:$A$81,0))</x:f>
        <x:v>South</x:v>
      </x:c>
      <x:c r="G253" t="str">
        <x:f>Raw_Orders!D253</x:f>
        <x:v>P007</x:v>
      </x:c>
      <x:c r="H253" t="str">
        <x:f>INDEX(Products!$B$2:$B$13,MATCH(G253,Products!$A$2:$A$13,0))</x:f>
        <x:v>Ergonomic Chair</x:v>
      </x:c>
      <x:c r="I253" t="str">
        <x:f>INDEX(Products!$C$2:$C$13,MATCH(G253,Products!$A$2:$A$13,0))</x:f>
        <x:v>Office</x:v>
      </x:c>
      <x:c r="J253" t="str">
        <x:f>Raw_Orders!G253</x:f>
        <x:v>Online</x:v>
      </x:c>
      <x:c r="K253" t="n">
        <x:f>Raw_Orders!E253</x:f>
        <x:v>4</x:v>
      </x:c>
      <x:c r="L253" s="12" t="n">
        <x:f>Raw_Orders!F253</x:f>
        <x:v>0.15</x:v>
      </x:c>
      <x:c r="M253" s="14" t="n">
        <x:f>INDEX(Products!$D$2:$D$13,MATCH(G253,Products!$A$2:$A$13,0))</x:f>
        <x:v>390</x:v>
      </x:c>
      <x:c r="N253" s="14" t="n">
        <x:f>INDEX(Products!$E$2:$E$13,MATCH(G253,Products!$A$2:$A$13,0))</x:f>
        <x:v>245</x:v>
      </x:c>
      <x:c r="O253" s="14" t="n">
        <x:f>K253*M253</x:f>
        <x:v>1560</x:v>
      </x:c>
      <x:c r="P253" s="14" t="n">
        <x:f>O253*(1-L253)</x:f>
        <x:v>1326</x:v>
      </x:c>
      <x:c r="Q253" s="14" t="n">
        <x:f>K253*N253</x:f>
        <x:v>980</x:v>
      </x:c>
      <x:c r="R253" s="14" t="n">
        <x:f>P253-Q253</x:f>
        <x:v>346</x:v>
      </x:c>
      <x:c r="S253" s="16" t="n">
        <x:f>IFERROR(R253/P253,0)</x:f>
        <x:v>0.2609351432880845</x:v>
      </x:c>
    </x:row>
    <x:row r="254" ht="15" hidden="0" customHeight="1">
      <x:c r="A254" t="str">
        <x:f>Raw_Orders!A254</x:f>
        <x:v>O0253</x:v>
      </x:c>
      <x:c r="B254" s="10" t="n">
        <x:f>Raw_Orders!B254</x:f>
        <x:v>45909</x:v>
      </x:c>
      <x:c r="C254" t="str">
        <x:f>Raw_Orders!C254</x:f>
        <x:v>C057</x:v>
      </x:c>
      <x:c r="D254" t="str">
        <x:f>INDEX(Customers!$B$2:$B$81,MATCH(C254,Customers!$A$2:$A$81,0))</x:f>
        <x:v>Customer 57</x:v>
      </x:c>
      <x:c r="E254" t="str">
        <x:f>INDEX(Customers!$C$2:$C$81,MATCH(C254,Customers!$A$2:$A$81,0))</x:f>
        <x:v>Small Business</x:v>
      </x:c>
      <x:c r="F254" t="str">
        <x:f>INDEX(Customers!$D$2:$D$81,MATCH(C254,Customers!$A$2:$A$81,0))</x:f>
        <x:v>North</x:v>
      </x:c>
      <x:c r="G254" t="str">
        <x:f>Raw_Orders!D254</x:f>
        <x:v>P002</x:v>
      </x:c>
      <x:c r="H254" t="str">
        <x:f>INDEX(Products!$B$2:$B$13,MATCH(G254,Products!$A$2:$A$13,0))</x:f>
        <x:v>Mechanical Keyboard</x:v>
      </x:c>
      <x:c r="I254" t="str">
        <x:f>INDEX(Products!$C$2:$C$13,MATCH(G254,Products!$A$2:$A$13,0))</x:f>
        <x:v>Accessories</x:v>
      </x:c>
      <x:c r="J254" t="str">
        <x:f>Raw_Orders!G254</x:f>
        <x:v>Partner</x:v>
      </x:c>
      <x:c r="K254" t="n">
        <x:f>Raw_Orders!E254</x:f>
        <x:v>1</x:v>
      </x:c>
      <x:c r="L254" s="12" t="n">
        <x:f>Raw_Orders!F254</x:f>
        <x:v>0</x:v>
      </x:c>
      <x:c r="M254" s="14" t="n">
        <x:f>INDEX(Products!$D$2:$D$13,MATCH(G254,Products!$A$2:$A$13,0))</x:f>
        <x:v>110</x:v>
      </x:c>
      <x:c r="N254" s="14" t="n">
        <x:f>INDEX(Products!$E$2:$E$13,MATCH(G254,Products!$A$2:$A$13,0))</x:f>
        <x:v>58</x:v>
      </x:c>
      <x:c r="O254" s="14" t="n">
        <x:f>K254*M254</x:f>
        <x:v>110</x:v>
      </x:c>
      <x:c r="P254" s="14" t="n">
        <x:f>O254*(1-L254)</x:f>
        <x:v>110</x:v>
      </x:c>
      <x:c r="Q254" s="14" t="n">
        <x:f>K254*N254</x:f>
        <x:v>58</x:v>
      </x:c>
      <x:c r="R254" s="14" t="n">
        <x:f>P254-Q254</x:f>
        <x:v>52</x:v>
      </x:c>
      <x:c r="S254" s="16" t="n">
        <x:f>IFERROR(R254/P254,0)</x:f>
        <x:v>0.4727272727272727</x:v>
      </x:c>
    </x:row>
    <x:row r="255" ht="15" hidden="0" customHeight="1">
      <x:c r="A255" t="str">
        <x:f>Raw_Orders!A255</x:f>
        <x:v>O0254</x:v>
      </x:c>
      <x:c r="B255" s="10" t="n">
        <x:f>Raw_Orders!B255</x:f>
        <x:v>45733</x:v>
      </x:c>
      <x:c r="C255" t="str">
        <x:f>Raw_Orders!C255</x:f>
        <x:v>C009</x:v>
      </x:c>
      <x:c r="D255" t="str">
        <x:f>INDEX(Customers!$B$2:$B$81,MATCH(C255,Customers!$A$2:$A$81,0))</x:f>
        <x:v>Customer 09</x:v>
      </x:c>
      <x:c r="E255" t="str">
        <x:f>INDEX(Customers!$C$2:$C$81,MATCH(C255,Customers!$A$2:$A$81,0))</x:f>
        <x:v>Small Business</x:v>
      </x:c>
      <x:c r="F255" t="str">
        <x:f>INDEX(Customers!$D$2:$D$81,MATCH(C255,Customers!$A$2:$A$81,0))</x:f>
        <x:v>North</x:v>
      </x:c>
      <x:c r="G255" t="str">
        <x:f>Raw_Orders!D255</x:f>
        <x:v>P003</x:v>
      </x:c>
      <x:c r="H255" t="str">
        <x:f>INDEX(Products!$B$2:$B$13,MATCH(G255,Products!$A$2:$A$13,0))</x:f>
        <x:v>USB-C Hub</x:v>
      </x:c>
      <x:c r="I255" t="str">
        <x:f>INDEX(Products!$C$2:$C$13,MATCH(G255,Products!$A$2:$A$13,0))</x:f>
        <x:v>Accessories</x:v>
      </x:c>
      <x:c r="J255" t="str">
        <x:f>Raw_Orders!G255</x:f>
        <x:v>Partner</x:v>
      </x:c>
      <x:c r="K255" t="n">
        <x:f>Raw_Orders!E255</x:f>
        <x:v>3</x:v>
      </x:c>
      <x:c r="L255" s="12" t="n">
        <x:f>Raw_Orders!F255</x:f>
        <x:v>0.1</x:v>
      </x:c>
      <x:c r="M255" s="14" t="n">
        <x:f>INDEX(Products!$D$2:$D$13,MATCH(G255,Products!$A$2:$A$13,0))</x:f>
        <x:v>65</x:v>
      </x:c>
      <x:c r="N255" s="14" t="n">
        <x:f>INDEX(Products!$E$2:$E$13,MATCH(G255,Products!$A$2:$A$13,0))</x:f>
        <x:v>31</x:v>
      </x:c>
      <x:c r="O255" s="14" t="n">
        <x:f>K255*M255</x:f>
        <x:v>195</x:v>
      </x:c>
      <x:c r="P255" s="14" t="n">
        <x:f>O255*(1-L255)</x:f>
        <x:v>175.5</x:v>
      </x:c>
      <x:c r="Q255" s="14" t="n">
        <x:f>K255*N255</x:f>
        <x:v>93</x:v>
      </x:c>
      <x:c r="R255" s="14" t="n">
        <x:f>P255-Q255</x:f>
        <x:v>82.5</x:v>
      </x:c>
      <x:c r="S255" s="16" t="n">
        <x:f>IFERROR(R255/P255,0)</x:f>
        <x:v>0.4700854700854701</x:v>
      </x:c>
    </x:row>
    <x:row r="256" ht="15" hidden="0" customHeight="1">
      <x:c r="A256" t="str">
        <x:f>Raw_Orders!A256</x:f>
        <x:v>O0255</x:v>
      </x:c>
      <x:c r="B256" s="10" t="n">
        <x:f>Raw_Orders!B256</x:f>
        <x:v>45957</x:v>
      </x:c>
      <x:c r="C256" t="str">
        <x:f>Raw_Orders!C256</x:f>
        <x:v>C071</x:v>
      </x:c>
      <x:c r="D256" t="str">
        <x:f>INDEX(Customers!$B$2:$B$81,MATCH(C256,Customers!$A$2:$A$81,0))</x:f>
        <x:v>Customer 71</x:v>
      </x:c>
      <x:c r="E256" t="str">
        <x:f>INDEX(Customers!$C$2:$C$81,MATCH(C256,Customers!$A$2:$A$81,0))</x:f>
        <x:v>Corporate</x:v>
      </x:c>
      <x:c r="F256" t="str">
        <x:f>INDEX(Customers!$D$2:$D$81,MATCH(C256,Customers!$A$2:$A$81,0))</x:f>
        <x:v>East</x:v>
      </x:c>
      <x:c r="G256" t="str">
        <x:f>Raw_Orders!D256</x:f>
        <x:v>P012</x:v>
      </x:c>
      <x:c r="H256" t="str">
        <x:f>INDEX(Products!$B$2:$B$13,MATCH(G256,Products!$A$2:$A$13,0))</x:f>
        <x:v>Docking Station</x:v>
      </x:c>
      <x:c r="I256" t="str">
        <x:f>INDEX(Products!$C$2:$C$13,MATCH(G256,Products!$A$2:$A$13,0))</x:f>
        <x:v>Accessories</x:v>
      </x:c>
      <x:c r="J256" t="str">
        <x:f>Raw_Orders!G256</x:f>
        <x:v>Partner</x:v>
      </x:c>
      <x:c r="K256" t="n">
        <x:f>Raw_Orders!E256</x:f>
        <x:v>3</x:v>
      </x:c>
      <x:c r="L256" s="12" t="n">
        <x:f>Raw_Orders!F256</x:f>
        <x:v>0.05</x:v>
      </x:c>
      <x:c r="M256" s="14" t="n">
        <x:f>INDEX(Products!$D$2:$D$13,MATCH(G256,Products!$A$2:$A$13,0))</x:f>
        <x:v>180</x:v>
      </x:c>
      <x:c r="N256" s="14" t="n">
        <x:f>INDEX(Products!$E$2:$E$13,MATCH(G256,Products!$A$2:$A$13,0))</x:f>
        <x:v>104</x:v>
      </x:c>
      <x:c r="O256" s="14" t="n">
        <x:f>K256*M256</x:f>
        <x:v>540</x:v>
      </x:c>
      <x:c r="P256" s="14" t="n">
        <x:f>O256*(1-L256)</x:f>
        <x:v>513</x:v>
      </x:c>
      <x:c r="Q256" s="14" t="n">
        <x:f>K256*N256</x:f>
        <x:v>312</x:v>
      </x:c>
      <x:c r="R256" s="14" t="n">
        <x:f>P256-Q256</x:f>
        <x:v>201</x:v>
      </x:c>
      <x:c r="S256" s="16" t="n">
        <x:f>IFERROR(R256/P256,0)</x:f>
        <x:v>0.391812865497076</x:v>
      </x:c>
    </x:row>
    <x:row r="257" ht="15" hidden="0" customHeight="1">
      <x:c r="A257" t="str">
        <x:f>Raw_Orders!A257</x:f>
        <x:v>O0256</x:v>
      </x:c>
      <x:c r="B257" s="10" t="n">
        <x:f>Raw_Orders!B257</x:f>
        <x:v>45929</x:v>
      </x:c>
      <x:c r="C257" t="str">
        <x:f>Raw_Orders!C257</x:f>
        <x:v>C038</x:v>
      </x:c>
      <x:c r="D257" t="str">
        <x:f>INDEX(Customers!$B$2:$B$81,MATCH(C257,Customers!$A$2:$A$81,0))</x:f>
        <x:v>Customer 38</x:v>
      </x:c>
      <x:c r="E257" t="str">
        <x:f>INDEX(Customers!$C$2:$C$81,MATCH(C257,Customers!$A$2:$A$81,0))</x:f>
        <x:v>Corporate</x:v>
      </x:c>
      <x:c r="F257" t="str">
        <x:f>INDEX(Customers!$D$2:$D$81,MATCH(C257,Customers!$A$2:$A$81,0))</x:f>
        <x:v>South</x:v>
      </x:c>
      <x:c r="G257" t="str">
        <x:f>Raw_Orders!D257</x:f>
        <x:v>P008</x:v>
      </x:c>
      <x:c r="H257" t="str">
        <x:f>INDEX(Products!$B$2:$B$13,MATCH(G257,Products!$A$2:$A$13,0))</x:f>
        <x:v>Webcam</x:v>
      </x:c>
      <x:c r="I257" t="str">
        <x:f>INDEX(Products!$C$2:$C$13,MATCH(G257,Products!$A$2:$A$13,0))</x:f>
        <x:v>Accessories</x:v>
      </x:c>
      <x:c r="J257" t="str">
        <x:f>Raw_Orders!G257</x:f>
        <x:v>Retail</x:v>
      </x:c>
      <x:c r="K257" t="n">
        <x:f>Raw_Orders!E257</x:f>
        <x:v>5</x:v>
      </x:c>
      <x:c r="L257" s="12" t="n">
        <x:f>Raw_Orders!F257</x:f>
        <x:v>0.1</x:v>
      </x:c>
      <x:c r="M257" s="14" t="n">
        <x:f>INDEX(Products!$D$2:$D$13,MATCH(G257,Products!$A$2:$A$13,0))</x:f>
        <x:v>95</x:v>
      </x:c>
      <x:c r="N257" s="14" t="n">
        <x:f>INDEX(Products!$E$2:$E$13,MATCH(G257,Products!$A$2:$A$13,0))</x:f>
        <x:v>49</x:v>
      </x:c>
      <x:c r="O257" s="14" t="n">
        <x:f>K257*M257</x:f>
        <x:v>475</x:v>
      </x:c>
      <x:c r="P257" s="14" t="n">
        <x:f>O257*(1-L257)</x:f>
        <x:v>427.5</x:v>
      </x:c>
      <x:c r="Q257" s="14" t="n">
        <x:f>K257*N257</x:f>
        <x:v>245</x:v>
      </x:c>
      <x:c r="R257" s="14" t="n">
        <x:f>P257-Q257</x:f>
        <x:v>182.5</x:v>
      </x:c>
      <x:c r="S257" s="16" t="n">
        <x:f>IFERROR(R257/P257,0)</x:f>
        <x:v>0.4269005847953216</x:v>
      </x:c>
    </x:row>
    <x:row r="258" ht="15" hidden="0" customHeight="1">
      <x:c r="A258" t="str">
        <x:f>Raw_Orders!A258</x:f>
        <x:v>O0257</x:v>
      </x:c>
      <x:c r="B258" s="10" t="n">
        <x:f>Raw_Orders!B258</x:f>
        <x:v>45708</x:v>
      </x:c>
      <x:c r="C258" t="str">
        <x:f>Raw_Orders!C258</x:f>
        <x:v>C015</x:v>
      </x:c>
      <x:c r="D258" t="str">
        <x:f>INDEX(Customers!$B$2:$B$81,MATCH(C258,Customers!$A$2:$A$81,0))</x:f>
        <x:v>Customer 15</x:v>
      </x:c>
      <x:c r="E258" t="str">
        <x:f>INDEX(Customers!$C$2:$C$81,MATCH(C258,Customers!$A$2:$A$81,0))</x:f>
        <x:v>Small Business</x:v>
      </x:c>
      <x:c r="F258" t="str">
        <x:f>INDEX(Customers!$D$2:$D$81,MATCH(C258,Customers!$A$2:$A$81,0))</x:f>
        <x:v>East</x:v>
      </x:c>
      <x:c r="G258" t="str">
        <x:f>Raw_Orders!D258</x:f>
        <x:v>P011</x:v>
      </x:c>
      <x:c r="H258" t="str">
        <x:f>INDEX(Products!$B$2:$B$13,MATCH(G258,Products!$A$2:$A$13,0))</x:f>
        <x:v>External HDD</x:v>
      </x:c>
      <x:c r="I258" t="str">
        <x:f>INDEX(Products!$C$2:$C$13,MATCH(G258,Products!$A$2:$A$13,0))</x:f>
        <x:v>Storage</x:v>
      </x:c>
      <x:c r="J258" t="str">
        <x:f>Raw_Orders!G258</x:f>
        <x:v>Partner</x:v>
      </x:c>
      <x:c r="K258" t="n">
        <x:f>Raw_Orders!E258</x:f>
        <x:v>6</x:v>
      </x:c>
      <x:c r="L258" s="12" t="n">
        <x:f>Raw_Orders!F258</x:f>
        <x:v>0.1</x:v>
      </x:c>
      <x:c r="M258" s="14" t="n">
        <x:f>INDEX(Products!$D$2:$D$13,MATCH(G258,Products!$A$2:$A$13,0))</x:f>
        <x:v>120</x:v>
      </x:c>
      <x:c r="N258" s="14" t="n">
        <x:f>INDEX(Products!$E$2:$E$13,MATCH(G258,Products!$A$2:$A$13,0))</x:f>
        <x:v>72</x:v>
      </x:c>
      <x:c r="O258" s="14" t="n">
        <x:f>K258*M258</x:f>
        <x:v>720</x:v>
      </x:c>
      <x:c r="P258" s="14" t="n">
        <x:f>O258*(1-L258)</x:f>
        <x:v>648</x:v>
      </x:c>
      <x:c r="Q258" s="14" t="n">
        <x:f>K258*N258</x:f>
        <x:v>432</x:v>
      </x:c>
      <x:c r="R258" s="14" t="n">
        <x:f>P258-Q258</x:f>
        <x:v>216</x:v>
      </x:c>
      <x:c r="S258" s="16" t="n">
        <x:f>IFERROR(R258/P258,0)</x:f>
        <x:v>0.3333333333333333</x:v>
      </x:c>
    </x:row>
    <x:row r="259" ht="15" hidden="0" customHeight="1">
      <x:c r="A259" t="str">
        <x:f>Raw_Orders!A259</x:f>
        <x:v>O0258</x:v>
      </x:c>
      <x:c r="B259" s="10" t="n">
        <x:f>Raw_Orders!B259</x:f>
        <x:v>45768</x:v>
      </x:c>
      <x:c r="C259" t="str">
        <x:f>Raw_Orders!C259</x:f>
        <x:v>C056</x:v>
      </x:c>
      <x:c r="D259" t="str">
        <x:f>INDEX(Customers!$B$2:$B$81,MATCH(C259,Customers!$A$2:$A$81,0))</x:f>
        <x:v>Customer 56</x:v>
      </x:c>
      <x:c r="E259" t="str">
        <x:f>INDEX(Customers!$C$2:$C$81,MATCH(C259,Customers!$A$2:$A$81,0))</x:f>
        <x:v>Corporate</x:v>
      </x:c>
      <x:c r="F259" t="str">
        <x:f>INDEX(Customers!$D$2:$D$81,MATCH(C259,Customers!$A$2:$A$81,0))</x:f>
        <x:v>West</x:v>
      </x:c>
      <x:c r="G259" t="str">
        <x:f>Raw_Orders!D259</x:f>
        <x:v>P008</x:v>
      </x:c>
      <x:c r="H259" t="str">
        <x:f>INDEX(Products!$B$2:$B$13,MATCH(G259,Products!$A$2:$A$13,0))</x:f>
        <x:v>Webcam</x:v>
      </x:c>
      <x:c r="I259" t="str">
        <x:f>INDEX(Products!$C$2:$C$13,MATCH(G259,Products!$A$2:$A$13,0))</x:f>
        <x:v>Accessories</x:v>
      </x:c>
      <x:c r="J259" t="str">
        <x:f>Raw_Orders!G259</x:f>
        <x:v>Retail</x:v>
      </x:c>
      <x:c r="K259" t="n">
        <x:f>Raw_Orders!E259</x:f>
        <x:v>2</x:v>
      </x:c>
      <x:c r="L259" s="12" t="n">
        <x:f>Raw_Orders!F259</x:f>
        <x:v>0.05</x:v>
      </x:c>
      <x:c r="M259" s="14" t="n">
        <x:f>INDEX(Products!$D$2:$D$13,MATCH(G259,Products!$A$2:$A$13,0))</x:f>
        <x:v>95</x:v>
      </x:c>
      <x:c r="N259" s="14" t="n">
        <x:f>INDEX(Products!$E$2:$E$13,MATCH(G259,Products!$A$2:$A$13,0))</x:f>
        <x:v>49</x:v>
      </x:c>
      <x:c r="O259" s="14" t="n">
        <x:f>K259*M259</x:f>
        <x:v>190</x:v>
      </x:c>
      <x:c r="P259" s="14" t="n">
        <x:f>O259*(1-L259)</x:f>
        <x:v>180.5</x:v>
      </x:c>
      <x:c r="Q259" s="14" t="n">
        <x:f>K259*N259</x:f>
        <x:v>98</x:v>
      </x:c>
      <x:c r="R259" s="14" t="n">
        <x:f>P259-Q259</x:f>
        <x:v>82.5</x:v>
      </x:c>
      <x:c r="S259" s="16" t="n">
        <x:f>IFERROR(R259/P259,0)</x:f>
        <x:v>0.45706371191135736</x:v>
      </x:c>
    </x:row>
    <x:row r="260" ht="15" hidden="0" customHeight="1">
      <x:c r="A260" t="str">
        <x:f>Raw_Orders!A260</x:f>
        <x:v>O0259</x:v>
      </x:c>
      <x:c r="B260" s="10" t="n">
        <x:f>Raw_Orders!B260</x:f>
        <x:v>45890</x:v>
      </x:c>
      <x:c r="C260" t="str">
        <x:f>Raw_Orders!C260</x:f>
        <x:v>C052</x:v>
      </x:c>
      <x:c r="D260" t="str">
        <x:f>INDEX(Customers!$B$2:$B$81,MATCH(C260,Customers!$A$2:$A$81,0))</x:f>
        <x:v>Customer 52</x:v>
      </x:c>
      <x:c r="E260" t="str">
        <x:f>INDEX(Customers!$C$2:$C$81,MATCH(C260,Customers!$A$2:$A$81,0))</x:f>
        <x:v>Consumer</x:v>
      </x:c>
      <x:c r="F260" t="str">
        <x:f>INDEX(Customers!$D$2:$D$81,MATCH(C260,Customers!$A$2:$A$81,0))</x:f>
        <x:v>West</x:v>
      </x:c>
      <x:c r="G260" t="str">
        <x:f>Raw_Orders!D260</x:f>
        <x:v>P007</x:v>
      </x:c>
      <x:c r="H260" t="str">
        <x:f>INDEX(Products!$B$2:$B$13,MATCH(G260,Products!$A$2:$A$13,0))</x:f>
        <x:v>Ergonomic Chair</x:v>
      </x:c>
      <x:c r="I260" t="str">
        <x:f>INDEX(Products!$C$2:$C$13,MATCH(G260,Products!$A$2:$A$13,0))</x:f>
        <x:v>Office</x:v>
      </x:c>
      <x:c r="J260" t="str">
        <x:f>Raw_Orders!G260</x:f>
        <x:v>Retail</x:v>
      </x:c>
      <x:c r="K260" t="n">
        <x:f>Raw_Orders!E260</x:f>
        <x:v>6</x:v>
      </x:c>
      <x:c r="L260" s="12" t="n">
        <x:f>Raw_Orders!F260</x:f>
        <x:v>0</x:v>
      </x:c>
      <x:c r="M260" s="14" t="n">
        <x:f>INDEX(Products!$D$2:$D$13,MATCH(G260,Products!$A$2:$A$13,0))</x:f>
        <x:v>390</x:v>
      </x:c>
      <x:c r="N260" s="14" t="n">
        <x:f>INDEX(Products!$E$2:$E$13,MATCH(G260,Products!$A$2:$A$13,0))</x:f>
        <x:v>245</x:v>
      </x:c>
      <x:c r="O260" s="14" t="n">
        <x:f>K260*M260</x:f>
        <x:v>2340</x:v>
      </x:c>
      <x:c r="P260" s="14" t="n">
        <x:f>O260*(1-L260)</x:f>
        <x:v>2340</x:v>
      </x:c>
      <x:c r="Q260" s="14" t="n">
        <x:f>K260*N260</x:f>
        <x:v>1470</x:v>
      </x:c>
      <x:c r="R260" s="14" t="n">
        <x:f>P260-Q260</x:f>
        <x:v>870</x:v>
      </x:c>
      <x:c r="S260" s="16" t="n">
        <x:f>IFERROR(R260/P260,0)</x:f>
        <x:v>0.3717948717948718</x:v>
      </x:c>
    </x:row>
    <x:row r="261" ht="15" hidden="0" customHeight="1">
      <x:c r="A261" t="str">
        <x:f>Raw_Orders!A261</x:f>
        <x:v>O0260</x:v>
      </x:c>
      <x:c r="B261" s="10" t="n">
        <x:f>Raw_Orders!B261</x:f>
        <x:v>45876</x:v>
      </x:c>
      <x:c r="C261" t="str">
        <x:f>Raw_Orders!C261</x:f>
        <x:v>C041</x:v>
      </x:c>
      <x:c r="D261" t="str">
        <x:f>INDEX(Customers!$B$2:$B$81,MATCH(C261,Customers!$A$2:$A$81,0))</x:f>
        <x:v>Customer 41</x:v>
      </x:c>
      <x:c r="E261" t="str">
        <x:f>INDEX(Customers!$C$2:$C$81,MATCH(C261,Customers!$A$2:$A$81,0))</x:f>
        <x:v>Corporate</x:v>
      </x:c>
      <x:c r="F261" t="str">
        <x:f>INDEX(Customers!$D$2:$D$81,MATCH(C261,Customers!$A$2:$A$81,0))</x:f>
        <x:v>North</x:v>
      </x:c>
      <x:c r="G261" t="str">
        <x:f>Raw_Orders!D261</x:f>
        <x:v>P011</x:v>
      </x:c>
      <x:c r="H261" t="str">
        <x:f>INDEX(Products!$B$2:$B$13,MATCH(G261,Products!$A$2:$A$13,0))</x:f>
        <x:v>External HDD</x:v>
      </x:c>
      <x:c r="I261" t="str">
        <x:f>INDEX(Products!$C$2:$C$13,MATCH(G261,Products!$A$2:$A$13,0))</x:f>
        <x:v>Storage</x:v>
      </x:c>
      <x:c r="J261" t="str">
        <x:f>Raw_Orders!G261</x:f>
        <x:v>Online</x:v>
      </x:c>
      <x:c r="K261" t="n">
        <x:f>Raw_Orders!E261</x:f>
        <x:v>3</x:v>
      </x:c>
      <x:c r="L261" s="12" t="n">
        <x:f>Raw_Orders!F261</x:f>
        <x:v>0</x:v>
      </x:c>
      <x:c r="M261" s="14" t="n">
        <x:f>INDEX(Products!$D$2:$D$13,MATCH(G261,Products!$A$2:$A$13,0))</x:f>
        <x:v>120</x:v>
      </x:c>
      <x:c r="N261" s="14" t="n">
        <x:f>INDEX(Products!$E$2:$E$13,MATCH(G261,Products!$A$2:$A$13,0))</x:f>
        <x:v>72</x:v>
      </x:c>
      <x:c r="O261" s="14" t="n">
        <x:f>K261*M261</x:f>
        <x:v>360</x:v>
      </x:c>
      <x:c r="P261" s="14" t="n">
        <x:f>O261*(1-L261)</x:f>
        <x:v>360</x:v>
      </x:c>
      <x:c r="Q261" s="14" t="n">
        <x:f>K261*N261</x:f>
        <x:v>216</x:v>
      </x:c>
      <x:c r="R261" s="14" t="n">
        <x:f>P261-Q261</x:f>
        <x:v>144</x:v>
      </x:c>
      <x:c r="S261" s="16" t="n">
        <x:f>IFERROR(R261/P261,0)</x:f>
        <x:v>0.4</x:v>
      </x:c>
    </x:row>
    <x:row r="262" ht="15" hidden="0" customHeight="1">
      <x:c r="A262" t="str">
        <x:f>Raw_Orders!A262</x:f>
        <x:v>O0261</x:v>
      </x:c>
      <x:c r="B262" s="10" t="n">
        <x:f>Raw_Orders!B262</x:f>
        <x:v>46009</x:v>
      </x:c>
      <x:c r="C262" t="str">
        <x:f>Raw_Orders!C262</x:f>
        <x:v>C061</x:v>
      </x:c>
      <x:c r="D262" t="str">
        <x:f>INDEX(Customers!$B$2:$B$81,MATCH(C262,Customers!$A$2:$A$81,0))</x:f>
        <x:v>Customer 61</x:v>
      </x:c>
      <x:c r="E262" t="str">
        <x:f>INDEX(Customers!$C$2:$C$81,MATCH(C262,Customers!$A$2:$A$81,0))</x:f>
        <x:v>Consumer</x:v>
      </x:c>
      <x:c r="F262" t="str">
        <x:f>INDEX(Customers!$D$2:$D$81,MATCH(C262,Customers!$A$2:$A$81,0))</x:f>
        <x:v>North</x:v>
      </x:c>
      <x:c r="G262" t="str">
        <x:f>Raw_Orders!D262</x:f>
        <x:v>P002</x:v>
      </x:c>
      <x:c r="H262" t="str">
        <x:f>INDEX(Products!$B$2:$B$13,MATCH(G262,Products!$A$2:$A$13,0))</x:f>
        <x:v>Mechanical Keyboard</x:v>
      </x:c>
      <x:c r="I262" t="str">
        <x:f>INDEX(Products!$C$2:$C$13,MATCH(G262,Products!$A$2:$A$13,0))</x:f>
        <x:v>Accessories</x:v>
      </x:c>
      <x:c r="J262" t="str">
        <x:f>Raw_Orders!G262</x:f>
        <x:v>Online</x:v>
      </x:c>
      <x:c r="K262" t="n">
        <x:f>Raw_Orders!E262</x:f>
        <x:v>1</x:v>
      </x:c>
      <x:c r="L262" s="12" t="n">
        <x:f>Raw_Orders!F262</x:f>
        <x:v>0</x:v>
      </x:c>
      <x:c r="M262" s="14" t="n">
        <x:f>INDEX(Products!$D$2:$D$13,MATCH(G262,Products!$A$2:$A$13,0))</x:f>
        <x:v>110</x:v>
      </x:c>
      <x:c r="N262" s="14" t="n">
        <x:f>INDEX(Products!$E$2:$E$13,MATCH(G262,Products!$A$2:$A$13,0))</x:f>
        <x:v>58</x:v>
      </x:c>
      <x:c r="O262" s="14" t="n">
        <x:f>K262*M262</x:f>
        <x:v>110</x:v>
      </x:c>
      <x:c r="P262" s="14" t="n">
        <x:f>O262*(1-L262)</x:f>
        <x:v>110</x:v>
      </x:c>
      <x:c r="Q262" s="14" t="n">
        <x:f>K262*N262</x:f>
        <x:v>58</x:v>
      </x:c>
      <x:c r="R262" s="14" t="n">
        <x:f>P262-Q262</x:f>
        <x:v>52</x:v>
      </x:c>
      <x:c r="S262" s="16" t="n">
        <x:f>IFERROR(R262/P262,0)</x:f>
        <x:v>0.4727272727272727</x:v>
      </x:c>
    </x:row>
    <x:row r="263" ht="15" hidden="0" customHeight="1">
      <x:c r="A263" t="str">
        <x:f>Raw_Orders!A263</x:f>
        <x:v>O0262</x:v>
      </x:c>
      <x:c r="B263" s="10" t="n">
        <x:f>Raw_Orders!B263</x:f>
        <x:v>45879</x:v>
      </x:c>
      <x:c r="C263" t="str">
        <x:f>Raw_Orders!C263</x:f>
        <x:v>C013</x:v>
      </x:c>
      <x:c r="D263" t="str">
        <x:f>INDEX(Customers!$B$2:$B$81,MATCH(C263,Customers!$A$2:$A$81,0))</x:f>
        <x:v>Customer 13</x:v>
      </x:c>
      <x:c r="E263" t="str">
        <x:f>INDEX(Customers!$C$2:$C$81,MATCH(C263,Customers!$A$2:$A$81,0))</x:f>
        <x:v>Consumer</x:v>
      </x:c>
      <x:c r="F263" t="str">
        <x:f>INDEX(Customers!$D$2:$D$81,MATCH(C263,Customers!$A$2:$A$81,0))</x:f>
        <x:v>North</x:v>
      </x:c>
      <x:c r="G263" t="str">
        <x:f>Raw_Orders!D263</x:f>
        <x:v>P012</x:v>
      </x:c>
      <x:c r="H263" t="str">
        <x:f>INDEX(Products!$B$2:$B$13,MATCH(G263,Products!$A$2:$A$13,0))</x:f>
        <x:v>Docking Station</x:v>
      </x:c>
      <x:c r="I263" t="str">
        <x:f>INDEX(Products!$C$2:$C$13,MATCH(G263,Products!$A$2:$A$13,0))</x:f>
        <x:v>Accessories</x:v>
      </x:c>
      <x:c r="J263" t="str">
        <x:f>Raw_Orders!G263</x:f>
        <x:v>Online</x:v>
      </x:c>
      <x:c r="K263" t="n">
        <x:f>Raw_Orders!E263</x:f>
        <x:v>6</x:v>
      </x:c>
      <x:c r="L263" s="12" t="n">
        <x:f>Raw_Orders!F263</x:f>
        <x:v>0</x:v>
      </x:c>
      <x:c r="M263" s="14" t="n">
        <x:f>INDEX(Products!$D$2:$D$13,MATCH(G263,Products!$A$2:$A$13,0))</x:f>
        <x:v>180</x:v>
      </x:c>
      <x:c r="N263" s="14" t="n">
        <x:f>INDEX(Products!$E$2:$E$13,MATCH(G263,Products!$A$2:$A$13,0))</x:f>
        <x:v>104</x:v>
      </x:c>
      <x:c r="O263" s="14" t="n">
        <x:f>K263*M263</x:f>
        <x:v>1080</x:v>
      </x:c>
      <x:c r="P263" s="14" t="n">
        <x:f>O263*(1-L263)</x:f>
        <x:v>1080</x:v>
      </x:c>
      <x:c r="Q263" s="14" t="n">
        <x:f>K263*N263</x:f>
        <x:v>624</x:v>
      </x:c>
      <x:c r="R263" s="14" t="n">
        <x:f>P263-Q263</x:f>
        <x:v>456</x:v>
      </x:c>
      <x:c r="S263" s="16" t="n">
        <x:f>IFERROR(R263/P263,0)</x:f>
        <x:v>0.4222222222222222</x:v>
      </x:c>
    </x:row>
    <x:row r="264" ht="15" hidden="0" customHeight="1">
      <x:c r="A264" t="str">
        <x:f>Raw_Orders!A264</x:f>
        <x:v>O0263</x:v>
      </x:c>
      <x:c r="B264" s="10" t="n">
        <x:f>Raw_Orders!B264</x:f>
        <x:v>45942</x:v>
      </x:c>
      <x:c r="C264" t="str">
        <x:f>Raw_Orders!C264</x:f>
        <x:v>C008</x:v>
      </x:c>
      <x:c r="D264" t="str">
        <x:f>INDEX(Customers!$B$2:$B$81,MATCH(C264,Customers!$A$2:$A$81,0))</x:f>
        <x:v>Customer 08</x:v>
      </x:c>
      <x:c r="E264" t="str">
        <x:f>INDEX(Customers!$C$2:$C$81,MATCH(C264,Customers!$A$2:$A$81,0))</x:f>
        <x:v>Corporate</x:v>
      </x:c>
      <x:c r="F264" t="str">
        <x:f>INDEX(Customers!$D$2:$D$81,MATCH(C264,Customers!$A$2:$A$81,0))</x:f>
        <x:v>West</x:v>
      </x:c>
      <x:c r="G264" t="str">
        <x:f>Raw_Orders!D264</x:f>
        <x:v>P010</x:v>
      </x:c>
      <x:c r="H264" t="str">
        <x:f>INDEX(Products!$B$2:$B$13,MATCH(G264,Products!$A$2:$A$13,0))</x:f>
        <x:v>Portable SSD</x:v>
      </x:c>
      <x:c r="I264" t="str">
        <x:f>INDEX(Products!$C$2:$C$13,MATCH(G264,Products!$A$2:$A$13,0))</x:f>
        <x:v>Storage</x:v>
      </x:c>
      <x:c r="J264" t="str">
        <x:f>Raw_Orders!G264</x:f>
        <x:v>Retail</x:v>
      </x:c>
      <x:c r="K264" t="n">
        <x:f>Raw_Orders!E264</x:f>
        <x:v>5</x:v>
      </x:c>
      <x:c r="L264" s="12" t="n">
        <x:f>Raw_Orders!F264</x:f>
        <x:v>0.1</x:v>
      </x:c>
      <x:c r="M264" s="14" t="n">
        <x:f>INDEX(Products!$D$2:$D$13,MATCH(G264,Products!$A$2:$A$13,0))</x:f>
        <x:v>145</x:v>
      </x:c>
      <x:c r="N264" s="14" t="n">
        <x:f>INDEX(Products!$E$2:$E$13,MATCH(G264,Products!$A$2:$A$13,0))</x:f>
        <x:v>86</x:v>
      </x:c>
      <x:c r="O264" s="14" t="n">
        <x:f>K264*M264</x:f>
        <x:v>725</x:v>
      </x:c>
      <x:c r="P264" s="14" t="n">
        <x:f>O264*(1-L264)</x:f>
        <x:v>652.5</x:v>
      </x:c>
      <x:c r="Q264" s="14" t="n">
        <x:f>K264*N264</x:f>
        <x:v>430</x:v>
      </x:c>
      <x:c r="R264" s="14" t="n">
        <x:f>P264-Q264</x:f>
        <x:v>222.5</x:v>
      </x:c>
      <x:c r="S264" s="16" t="n">
        <x:f>IFERROR(R264/P264,0)</x:f>
        <x:v>0.34099616858237547</x:v>
      </x:c>
    </x:row>
    <x:row r="265" ht="15" hidden="0" customHeight="1">
      <x:c r="A265" t="str">
        <x:f>Raw_Orders!A265</x:f>
        <x:v>O0264</x:v>
      </x:c>
      <x:c r="B265" s="10" t="n">
        <x:f>Raw_Orders!B265</x:f>
        <x:v>46001</x:v>
      </x:c>
      <x:c r="C265" t="str">
        <x:f>Raw_Orders!C265</x:f>
        <x:v>C016</x:v>
      </x:c>
      <x:c r="D265" t="str">
        <x:f>INDEX(Customers!$B$2:$B$81,MATCH(C265,Customers!$A$2:$A$81,0))</x:f>
        <x:v>Customer 16</x:v>
      </x:c>
      <x:c r="E265" t="str">
        <x:f>INDEX(Customers!$C$2:$C$81,MATCH(C265,Customers!$A$2:$A$81,0))</x:f>
        <x:v>Consumer</x:v>
      </x:c>
      <x:c r="F265" t="str">
        <x:f>INDEX(Customers!$D$2:$D$81,MATCH(C265,Customers!$A$2:$A$81,0))</x:f>
        <x:v>West</x:v>
      </x:c>
      <x:c r="G265" t="str">
        <x:f>Raw_Orders!D265</x:f>
        <x:v>P007</x:v>
      </x:c>
      <x:c r="H265" t="str">
        <x:f>INDEX(Products!$B$2:$B$13,MATCH(G265,Products!$A$2:$A$13,0))</x:f>
        <x:v>Ergonomic Chair</x:v>
      </x:c>
      <x:c r="I265" t="str">
        <x:f>INDEX(Products!$C$2:$C$13,MATCH(G265,Products!$A$2:$A$13,0))</x:f>
        <x:v>Office</x:v>
      </x:c>
      <x:c r="J265" t="str">
        <x:f>Raw_Orders!G265</x:f>
        <x:v>Retail</x:v>
      </x:c>
      <x:c r="K265" t="n">
        <x:f>Raw_Orders!E265</x:f>
        <x:v>3</x:v>
      </x:c>
      <x:c r="L265" s="12" t="n">
        <x:f>Raw_Orders!F265</x:f>
        <x:v>0.15</x:v>
      </x:c>
      <x:c r="M265" s="14" t="n">
        <x:f>INDEX(Products!$D$2:$D$13,MATCH(G265,Products!$A$2:$A$13,0))</x:f>
        <x:v>390</x:v>
      </x:c>
      <x:c r="N265" s="14" t="n">
        <x:f>INDEX(Products!$E$2:$E$13,MATCH(G265,Products!$A$2:$A$13,0))</x:f>
        <x:v>245</x:v>
      </x:c>
      <x:c r="O265" s="14" t="n">
        <x:f>K265*M265</x:f>
        <x:v>1170</x:v>
      </x:c>
      <x:c r="P265" s="14" t="n">
        <x:f>O265*(1-L265)</x:f>
        <x:v>994.5</x:v>
      </x:c>
      <x:c r="Q265" s="14" t="n">
        <x:f>K265*N265</x:f>
        <x:v>735</x:v>
      </x:c>
      <x:c r="R265" s="14" t="n">
        <x:f>P265-Q265</x:f>
        <x:v>259.5</x:v>
      </x:c>
      <x:c r="S265" s="16" t="n">
        <x:f>IFERROR(R265/P265,0)</x:f>
        <x:v>0.2609351432880845</x:v>
      </x:c>
    </x:row>
    <x:row r="266" ht="15" hidden="0" customHeight="1">
      <x:c r="A266" t="str">
        <x:f>Raw_Orders!A266</x:f>
        <x:v>O0265</x:v>
      </x:c>
      <x:c r="B266" s="10" t="n">
        <x:f>Raw_Orders!B266</x:f>
        <x:v>45684</x:v>
      </x:c>
      <x:c r="C266" t="str">
        <x:f>Raw_Orders!C266</x:f>
        <x:v>C037</x:v>
      </x:c>
      <x:c r="D266" t="str">
        <x:f>INDEX(Customers!$B$2:$B$81,MATCH(C266,Customers!$A$2:$A$81,0))</x:f>
        <x:v>Customer 37</x:v>
      </x:c>
      <x:c r="E266" t="str">
        <x:f>INDEX(Customers!$C$2:$C$81,MATCH(C266,Customers!$A$2:$A$81,0))</x:f>
        <x:v>Consumer</x:v>
      </x:c>
      <x:c r="F266" t="str">
        <x:f>INDEX(Customers!$D$2:$D$81,MATCH(C266,Customers!$A$2:$A$81,0))</x:f>
        <x:v>North</x:v>
      </x:c>
      <x:c r="G266" t="str">
        <x:f>Raw_Orders!D266</x:f>
        <x:v>P010</x:v>
      </x:c>
      <x:c r="H266" t="str">
        <x:f>INDEX(Products!$B$2:$B$13,MATCH(G266,Products!$A$2:$A$13,0))</x:f>
        <x:v>Portable SSD</x:v>
      </x:c>
      <x:c r="I266" t="str">
        <x:f>INDEX(Products!$C$2:$C$13,MATCH(G266,Products!$A$2:$A$13,0))</x:f>
        <x:v>Storage</x:v>
      </x:c>
      <x:c r="J266" t="str">
        <x:f>Raw_Orders!G266</x:f>
        <x:v>Online</x:v>
      </x:c>
      <x:c r="K266" t="n">
        <x:f>Raw_Orders!E266</x:f>
        <x:v>3</x:v>
      </x:c>
      <x:c r="L266" s="12" t="n">
        <x:f>Raw_Orders!F266</x:f>
        <x:v>0</x:v>
      </x:c>
      <x:c r="M266" s="14" t="n">
        <x:f>INDEX(Products!$D$2:$D$13,MATCH(G266,Products!$A$2:$A$13,0))</x:f>
        <x:v>145</x:v>
      </x:c>
      <x:c r="N266" s="14" t="n">
        <x:f>INDEX(Products!$E$2:$E$13,MATCH(G266,Products!$A$2:$A$13,0))</x:f>
        <x:v>86</x:v>
      </x:c>
      <x:c r="O266" s="14" t="n">
        <x:f>K266*M266</x:f>
        <x:v>435</x:v>
      </x:c>
      <x:c r="P266" s="14" t="n">
        <x:f>O266*(1-L266)</x:f>
        <x:v>435</x:v>
      </x:c>
      <x:c r="Q266" s="14" t="n">
        <x:f>K266*N266</x:f>
        <x:v>258</x:v>
      </x:c>
      <x:c r="R266" s="14" t="n">
        <x:f>P266-Q266</x:f>
        <x:v>177</x:v>
      </x:c>
      <x:c r="S266" s="16" t="n">
        <x:f>IFERROR(R266/P266,0)</x:f>
        <x:v>0.4068965517241379</x:v>
      </x:c>
    </x:row>
    <x:row r="267" ht="15" hidden="0" customHeight="1">
      <x:c r="A267" t="str">
        <x:f>Raw_Orders!A267</x:f>
        <x:v>O0266</x:v>
      </x:c>
      <x:c r="B267" s="10" t="n">
        <x:f>Raw_Orders!B267</x:f>
        <x:v>45953</x:v>
      </x:c>
      <x:c r="C267" t="str">
        <x:f>Raw_Orders!C267</x:f>
        <x:v>C065</x:v>
      </x:c>
      <x:c r="D267" t="str">
        <x:f>INDEX(Customers!$B$2:$B$81,MATCH(C267,Customers!$A$2:$A$81,0))</x:f>
        <x:v>Customer 65</x:v>
      </x:c>
      <x:c r="E267" t="str">
        <x:f>INDEX(Customers!$C$2:$C$81,MATCH(C267,Customers!$A$2:$A$81,0))</x:f>
        <x:v>Corporate</x:v>
      </x:c>
      <x:c r="F267" t="str">
        <x:f>INDEX(Customers!$D$2:$D$81,MATCH(C267,Customers!$A$2:$A$81,0))</x:f>
        <x:v>North</x:v>
      </x:c>
      <x:c r="G267" t="str">
        <x:f>Raw_Orders!D267</x:f>
        <x:v>P004</x:v>
      </x:c>
      <x:c r="H267" t="str">
        <x:f>INDEX(Products!$B$2:$B$13,MATCH(G267,Products!$A$2:$A$13,0))</x:f>
        <x:v>24in Monitor</x:v>
      </x:c>
      <x:c r="I267" t="str">
        <x:f>INDEX(Products!$C$2:$C$13,MATCH(G267,Products!$A$2:$A$13,0))</x:f>
        <x:v>Displays</x:v>
      </x:c>
      <x:c r="J267" t="str">
        <x:f>Raw_Orders!G267</x:f>
        <x:v>Retail</x:v>
      </x:c>
      <x:c r="K267" t="n">
        <x:f>Raw_Orders!E267</x:f>
        <x:v>2</x:v>
      </x:c>
      <x:c r="L267" s="12" t="n">
        <x:f>Raw_Orders!F267</x:f>
        <x:v>0.15</x:v>
      </x:c>
      <x:c r="M267" s="14" t="n">
        <x:f>INDEX(Products!$D$2:$D$13,MATCH(G267,Products!$A$2:$A$13,0))</x:f>
        <x:v>220</x:v>
      </x:c>
      <x:c r="N267" s="14" t="n">
        <x:f>INDEX(Products!$E$2:$E$13,MATCH(G267,Products!$A$2:$A$13,0))</x:f>
        <x:v>142</x:v>
      </x:c>
      <x:c r="O267" s="14" t="n">
        <x:f>K267*M267</x:f>
        <x:v>440</x:v>
      </x:c>
      <x:c r="P267" s="14" t="n">
        <x:f>O267*(1-L267)</x:f>
        <x:v>374</x:v>
      </x:c>
      <x:c r="Q267" s="14" t="n">
        <x:f>K267*N267</x:f>
        <x:v>284</x:v>
      </x:c>
      <x:c r="R267" s="14" t="n">
        <x:f>P267-Q267</x:f>
        <x:v>90</x:v>
      </x:c>
      <x:c r="S267" s="16" t="n">
        <x:f>IFERROR(R267/P267,0)</x:f>
        <x:v>0.24064171122994651</x:v>
      </x:c>
    </x:row>
    <x:row r="268" ht="15" hidden="0" customHeight="1">
      <x:c r="A268" t="str">
        <x:f>Raw_Orders!A268</x:f>
        <x:v>O0267</x:v>
      </x:c>
      <x:c r="B268" s="10" t="n">
        <x:f>Raw_Orders!B268</x:f>
        <x:v>45772</x:v>
      </x:c>
      <x:c r="C268" t="str">
        <x:f>Raw_Orders!C268</x:f>
        <x:v>C014</x:v>
      </x:c>
      <x:c r="D268" t="str">
        <x:f>INDEX(Customers!$B$2:$B$81,MATCH(C268,Customers!$A$2:$A$81,0))</x:f>
        <x:v>Customer 14</x:v>
      </x:c>
      <x:c r="E268" t="str">
        <x:f>INDEX(Customers!$C$2:$C$81,MATCH(C268,Customers!$A$2:$A$81,0))</x:f>
        <x:v>Corporate</x:v>
      </x:c>
      <x:c r="F268" t="str">
        <x:f>INDEX(Customers!$D$2:$D$81,MATCH(C268,Customers!$A$2:$A$81,0))</x:f>
        <x:v>South</x:v>
      </x:c>
      <x:c r="G268" t="str">
        <x:f>Raw_Orders!D268</x:f>
        <x:v>P006</x:v>
      </x:c>
      <x:c r="H268" t="str">
        <x:f>INDEX(Products!$B$2:$B$13,MATCH(G268,Products!$A$2:$A$13,0))</x:f>
        <x:v>Laptop Stand</x:v>
      </x:c>
      <x:c r="I268" t="str">
        <x:f>INDEX(Products!$C$2:$C$13,MATCH(G268,Products!$A$2:$A$13,0))</x:f>
        <x:v>Office</x:v>
      </x:c>
      <x:c r="J268" t="str">
        <x:f>Raw_Orders!G268</x:f>
        <x:v>Online</x:v>
      </x:c>
      <x:c r="K268" t="n">
        <x:f>Raw_Orders!E268</x:f>
        <x:v>5</x:v>
      </x:c>
      <x:c r="L268" s="12" t="n">
        <x:f>Raw_Orders!F268</x:f>
        <x:v>0</x:v>
      </x:c>
      <x:c r="M268" s="14" t="n">
        <x:f>INDEX(Products!$D$2:$D$13,MATCH(G268,Products!$A$2:$A$13,0))</x:f>
        <x:v>55</x:v>
      </x:c>
      <x:c r="N268" s="14" t="n">
        <x:f>INDEX(Products!$E$2:$E$13,MATCH(G268,Products!$A$2:$A$13,0))</x:f>
        <x:v>24</x:v>
      </x:c>
      <x:c r="O268" s="14" t="n">
        <x:f>K268*M268</x:f>
        <x:v>275</x:v>
      </x:c>
      <x:c r="P268" s="14" t="n">
        <x:f>O268*(1-L268)</x:f>
        <x:v>275</x:v>
      </x:c>
      <x:c r="Q268" s="14" t="n">
        <x:f>K268*N268</x:f>
        <x:v>120</x:v>
      </x:c>
      <x:c r="R268" s="14" t="n">
        <x:f>P268-Q268</x:f>
        <x:v>155</x:v>
      </x:c>
      <x:c r="S268" s="16" t="n">
        <x:f>IFERROR(R268/P268,0)</x:f>
        <x:v>0.5636363636363636</x:v>
      </x:c>
    </x:row>
    <x:row r="269" ht="15" hidden="0" customHeight="1">
      <x:c r="A269" t="str">
        <x:f>Raw_Orders!A269</x:f>
        <x:v>O0268</x:v>
      </x:c>
      <x:c r="B269" s="10" t="n">
        <x:f>Raw_Orders!B269</x:f>
        <x:v>45800</x:v>
      </x:c>
      <x:c r="C269" t="str">
        <x:f>Raw_Orders!C269</x:f>
        <x:v>C074</x:v>
      </x:c>
      <x:c r="D269" t="str">
        <x:f>INDEX(Customers!$B$2:$B$81,MATCH(C269,Customers!$A$2:$A$81,0))</x:f>
        <x:v>Customer 74</x:v>
      </x:c>
      <x:c r="E269" t="str">
        <x:f>INDEX(Customers!$C$2:$C$81,MATCH(C269,Customers!$A$2:$A$81,0))</x:f>
        <x:v>Corporate</x:v>
      </x:c>
      <x:c r="F269" t="str">
        <x:f>INDEX(Customers!$D$2:$D$81,MATCH(C269,Customers!$A$2:$A$81,0))</x:f>
        <x:v>South</x:v>
      </x:c>
      <x:c r="G269" t="str">
        <x:f>Raw_Orders!D269</x:f>
        <x:v>P004</x:v>
      </x:c>
      <x:c r="H269" t="str">
        <x:f>INDEX(Products!$B$2:$B$13,MATCH(G269,Products!$A$2:$A$13,0))</x:f>
        <x:v>24in Monitor</x:v>
      </x:c>
      <x:c r="I269" t="str">
        <x:f>INDEX(Products!$C$2:$C$13,MATCH(G269,Products!$A$2:$A$13,0))</x:f>
        <x:v>Displays</x:v>
      </x:c>
      <x:c r="J269" t="str">
        <x:f>Raw_Orders!G269</x:f>
        <x:v>Partner</x:v>
      </x:c>
      <x:c r="K269" t="n">
        <x:f>Raw_Orders!E269</x:f>
        <x:v>4</x:v>
      </x:c>
      <x:c r="L269" s="12" t="n">
        <x:f>Raw_Orders!F269</x:f>
        <x:v>0.1</x:v>
      </x:c>
      <x:c r="M269" s="14" t="n">
        <x:f>INDEX(Products!$D$2:$D$13,MATCH(G269,Products!$A$2:$A$13,0))</x:f>
        <x:v>220</x:v>
      </x:c>
      <x:c r="N269" s="14" t="n">
        <x:f>INDEX(Products!$E$2:$E$13,MATCH(G269,Products!$A$2:$A$13,0))</x:f>
        <x:v>142</x:v>
      </x:c>
      <x:c r="O269" s="14" t="n">
        <x:f>K269*M269</x:f>
        <x:v>880</x:v>
      </x:c>
      <x:c r="P269" s="14" t="n">
        <x:f>O269*(1-L269)</x:f>
        <x:v>792</x:v>
      </x:c>
      <x:c r="Q269" s="14" t="n">
        <x:f>K269*N269</x:f>
        <x:v>568</x:v>
      </x:c>
      <x:c r="R269" s="14" t="n">
        <x:f>P269-Q269</x:f>
        <x:v>224</x:v>
      </x:c>
      <x:c r="S269" s="16" t="n">
        <x:f>IFERROR(R269/P269,0)</x:f>
        <x:v>0.2828282828282828</x:v>
      </x:c>
    </x:row>
    <x:row r="270" ht="15" hidden="0" customHeight="1">
      <x:c r="A270" t="str">
        <x:f>Raw_Orders!A270</x:f>
        <x:v>O0269</x:v>
      </x:c>
      <x:c r="B270" s="10" t="n">
        <x:f>Raw_Orders!B270</x:f>
        <x:v>45972</x:v>
      </x:c>
      <x:c r="C270" t="str">
        <x:f>Raw_Orders!C270</x:f>
        <x:v>C072</x:v>
      </x:c>
      <x:c r="D270" t="str">
        <x:f>INDEX(Customers!$B$2:$B$81,MATCH(C270,Customers!$A$2:$A$81,0))</x:f>
        <x:v>Customer 72</x:v>
      </x:c>
      <x:c r="E270" t="str">
        <x:f>INDEX(Customers!$C$2:$C$81,MATCH(C270,Customers!$A$2:$A$81,0))</x:f>
        <x:v>Small Business</x:v>
      </x:c>
      <x:c r="F270" t="str">
        <x:f>INDEX(Customers!$D$2:$D$81,MATCH(C270,Customers!$A$2:$A$81,0))</x:f>
        <x:v>West</x:v>
      </x:c>
      <x:c r="G270" t="str">
        <x:f>Raw_Orders!D270</x:f>
        <x:v>P001</x:v>
      </x:c>
      <x:c r="H270" t="str">
        <x:f>INDEX(Products!$B$2:$B$13,MATCH(G270,Products!$A$2:$A$13,0))</x:f>
        <x:v>Wireless Headset</x:v>
      </x:c>
      <x:c r="I270" t="str">
        <x:f>INDEX(Products!$C$2:$C$13,MATCH(G270,Products!$A$2:$A$13,0))</x:f>
        <x:v>Accessories</x:v>
      </x:c>
      <x:c r="J270" t="str">
        <x:f>Raw_Orders!G270</x:f>
        <x:v>Partner</x:v>
      </x:c>
      <x:c r="K270" t="n">
        <x:f>Raw_Orders!E270</x:f>
        <x:v>5</x:v>
      </x:c>
      <x:c r="L270" s="12" t="n">
        <x:f>Raw_Orders!F270</x:f>
        <x:v>0.15</x:v>
      </x:c>
      <x:c r="M270" s="14" t="n">
        <x:f>INDEX(Products!$D$2:$D$13,MATCH(G270,Products!$A$2:$A$13,0))</x:f>
        <x:v>85</x:v>
      </x:c>
      <x:c r="N270" s="14" t="n">
        <x:f>INDEX(Products!$E$2:$E$13,MATCH(G270,Products!$A$2:$A$13,0))</x:f>
        <x:v>42</x:v>
      </x:c>
      <x:c r="O270" s="14" t="n">
        <x:f>K270*M270</x:f>
        <x:v>425</x:v>
      </x:c>
      <x:c r="P270" s="14" t="n">
        <x:f>O270*(1-L270)</x:f>
        <x:v>361.25</x:v>
      </x:c>
      <x:c r="Q270" s="14" t="n">
        <x:f>K270*N270</x:f>
        <x:v>210</x:v>
      </x:c>
      <x:c r="R270" s="14" t="n">
        <x:f>P270-Q270</x:f>
        <x:v>151.25</x:v>
      </x:c>
      <x:c r="S270" s="16" t="n">
        <x:f>IFERROR(R270/P270,0)</x:f>
        <x:v>0.4186851211072664</x:v>
      </x:c>
    </x:row>
    <x:row r="271" ht="15" hidden="0" customHeight="1">
      <x:c r="A271" t="str">
        <x:f>Raw_Orders!A271</x:f>
        <x:v>O0270</x:v>
      </x:c>
      <x:c r="B271" s="10" t="n">
        <x:f>Raw_Orders!B271</x:f>
        <x:v>45794</x:v>
      </x:c>
      <x:c r="C271" t="str">
        <x:f>Raw_Orders!C271</x:f>
        <x:v>C004</x:v>
      </x:c>
      <x:c r="D271" t="str">
        <x:f>INDEX(Customers!$B$2:$B$81,MATCH(C271,Customers!$A$2:$A$81,0))</x:f>
        <x:v>Customer 04</x:v>
      </x:c>
      <x:c r="E271" t="str">
        <x:f>INDEX(Customers!$C$2:$C$81,MATCH(C271,Customers!$A$2:$A$81,0))</x:f>
        <x:v>Consumer</x:v>
      </x:c>
      <x:c r="F271" t="str">
        <x:f>INDEX(Customers!$D$2:$D$81,MATCH(C271,Customers!$A$2:$A$81,0))</x:f>
        <x:v>West</x:v>
      </x:c>
      <x:c r="G271" t="str">
        <x:f>Raw_Orders!D271</x:f>
        <x:v>P003</x:v>
      </x:c>
      <x:c r="H271" t="str">
        <x:f>INDEX(Products!$B$2:$B$13,MATCH(G271,Products!$A$2:$A$13,0))</x:f>
        <x:v>USB-C Hub</x:v>
      </x:c>
      <x:c r="I271" t="str">
        <x:f>INDEX(Products!$C$2:$C$13,MATCH(G271,Products!$A$2:$A$13,0))</x:f>
        <x:v>Accessories</x:v>
      </x:c>
      <x:c r="J271" t="str">
        <x:f>Raw_Orders!G271</x:f>
        <x:v>Retail</x:v>
      </x:c>
      <x:c r="K271" t="n">
        <x:f>Raw_Orders!E271</x:f>
        <x:v>3</x:v>
      </x:c>
      <x:c r="L271" s="12" t="n">
        <x:f>Raw_Orders!F271</x:f>
        <x:v>0.15</x:v>
      </x:c>
      <x:c r="M271" s="14" t="n">
        <x:f>INDEX(Products!$D$2:$D$13,MATCH(G271,Products!$A$2:$A$13,0))</x:f>
        <x:v>65</x:v>
      </x:c>
      <x:c r="N271" s="14" t="n">
        <x:f>INDEX(Products!$E$2:$E$13,MATCH(G271,Products!$A$2:$A$13,0))</x:f>
        <x:v>31</x:v>
      </x:c>
      <x:c r="O271" s="14" t="n">
        <x:f>K271*M271</x:f>
        <x:v>195</x:v>
      </x:c>
      <x:c r="P271" s="14" t="n">
        <x:f>O271*(1-L271)</x:f>
        <x:v>165.75</x:v>
      </x:c>
      <x:c r="Q271" s="14" t="n">
        <x:f>K271*N271</x:f>
        <x:v>93</x:v>
      </x:c>
      <x:c r="R271" s="14" t="n">
        <x:f>P271-Q271</x:f>
        <x:v>72.75</x:v>
      </x:c>
      <x:c r="S271" s="16" t="n">
        <x:f>IFERROR(R271/P271,0)</x:f>
        <x:v>0.43891402714932126</x:v>
      </x:c>
    </x:row>
    <x:row r="272" ht="15" hidden="0" customHeight="1">
      <x:c r="A272" t="str">
        <x:f>Raw_Orders!A272</x:f>
        <x:v>O0271</x:v>
      </x:c>
      <x:c r="B272" s="10" t="n">
        <x:f>Raw_Orders!B272</x:f>
        <x:v>45831</x:v>
      </x:c>
      <x:c r="C272" t="str">
        <x:f>Raw_Orders!C272</x:f>
        <x:v>C045</x:v>
      </x:c>
      <x:c r="D272" t="str">
        <x:f>INDEX(Customers!$B$2:$B$81,MATCH(C272,Customers!$A$2:$A$81,0))</x:f>
        <x:v>Customer 45</x:v>
      </x:c>
      <x:c r="E272" t="str">
        <x:f>INDEX(Customers!$C$2:$C$81,MATCH(C272,Customers!$A$2:$A$81,0))</x:f>
        <x:v>Small Business</x:v>
      </x:c>
      <x:c r="F272" t="str">
        <x:f>INDEX(Customers!$D$2:$D$81,MATCH(C272,Customers!$A$2:$A$81,0))</x:f>
        <x:v>North</x:v>
      </x:c>
      <x:c r="G272" t="str">
        <x:f>Raw_Orders!D272</x:f>
        <x:v>P001</x:v>
      </x:c>
      <x:c r="H272" t="str">
        <x:f>INDEX(Products!$B$2:$B$13,MATCH(G272,Products!$A$2:$A$13,0))</x:f>
        <x:v>Wireless Headset</x:v>
      </x:c>
      <x:c r="I272" t="str">
        <x:f>INDEX(Products!$C$2:$C$13,MATCH(G272,Products!$A$2:$A$13,0))</x:f>
        <x:v>Accessories</x:v>
      </x:c>
      <x:c r="J272" t="str">
        <x:f>Raw_Orders!G272</x:f>
        <x:v>Partner</x:v>
      </x:c>
      <x:c r="K272" t="n">
        <x:f>Raw_Orders!E272</x:f>
        <x:v>2</x:v>
      </x:c>
      <x:c r="L272" s="12" t="n">
        <x:f>Raw_Orders!F272</x:f>
        <x:v>0</x:v>
      </x:c>
      <x:c r="M272" s="14" t="n">
        <x:f>INDEX(Products!$D$2:$D$13,MATCH(G272,Products!$A$2:$A$13,0))</x:f>
        <x:v>85</x:v>
      </x:c>
      <x:c r="N272" s="14" t="n">
        <x:f>INDEX(Products!$E$2:$E$13,MATCH(G272,Products!$A$2:$A$13,0))</x:f>
        <x:v>42</x:v>
      </x:c>
      <x:c r="O272" s="14" t="n">
        <x:f>K272*M272</x:f>
        <x:v>170</x:v>
      </x:c>
      <x:c r="P272" s="14" t="n">
        <x:f>O272*(1-L272)</x:f>
        <x:v>170</x:v>
      </x:c>
      <x:c r="Q272" s="14" t="n">
        <x:f>K272*N272</x:f>
        <x:v>84</x:v>
      </x:c>
      <x:c r="R272" s="14" t="n">
        <x:f>P272-Q272</x:f>
        <x:v>86</x:v>
      </x:c>
      <x:c r="S272" s="16" t="n">
        <x:f>IFERROR(R272/P272,0)</x:f>
        <x:v>0.5058823529411764</x:v>
      </x:c>
    </x:row>
    <x:row r="273" ht="15" hidden="0" customHeight="1">
      <x:c r="A273" t="str">
        <x:f>Raw_Orders!A273</x:f>
        <x:v>O0272</x:v>
      </x:c>
      <x:c r="B273" s="10" t="n">
        <x:f>Raw_Orders!B273</x:f>
        <x:v>45994</x:v>
      </x:c>
      <x:c r="C273" t="str">
        <x:f>Raw_Orders!C273</x:f>
        <x:v>C052</x:v>
      </x:c>
      <x:c r="D273" t="str">
        <x:f>INDEX(Customers!$B$2:$B$81,MATCH(C273,Customers!$A$2:$A$81,0))</x:f>
        <x:v>Customer 52</x:v>
      </x:c>
      <x:c r="E273" t="str">
        <x:f>INDEX(Customers!$C$2:$C$81,MATCH(C273,Customers!$A$2:$A$81,0))</x:f>
        <x:v>Consumer</x:v>
      </x:c>
      <x:c r="F273" t="str">
        <x:f>INDEX(Customers!$D$2:$D$81,MATCH(C273,Customers!$A$2:$A$81,0))</x:f>
        <x:v>West</x:v>
      </x:c>
      <x:c r="G273" t="str">
        <x:f>Raw_Orders!D273</x:f>
        <x:v>P002</x:v>
      </x:c>
      <x:c r="H273" t="str">
        <x:f>INDEX(Products!$B$2:$B$13,MATCH(G273,Products!$A$2:$A$13,0))</x:f>
        <x:v>Mechanical Keyboard</x:v>
      </x:c>
      <x:c r="I273" t="str">
        <x:f>INDEX(Products!$C$2:$C$13,MATCH(G273,Products!$A$2:$A$13,0))</x:f>
        <x:v>Accessories</x:v>
      </x:c>
      <x:c r="J273" t="str">
        <x:f>Raw_Orders!G273</x:f>
        <x:v>Partner</x:v>
      </x:c>
      <x:c r="K273" t="n">
        <x:f>Raw_Orders!E273</x:f>
        <x:v>2</x:v>
      </x:c>
      <x:c r="L273" s="12" t="n">
        <x:f>Raw_Orders!F273</x:f>
        <x:v>0.15</x:v>
      </x:c>
      <x:c r="M273" s="14" t="n">
        <x:f>INDEX(Products!$D$2:$D$13,MATCH(G273,Products!$A$2:$A$13,0))</x:f>
        <x:v>110</x:v>
      </x:c>
      <x:c r="N273" s="14" t="n">
        <x:f>INDEX(Products!$E$2:$E$13,MATCH(G273,Products!$A$2:$A$13,0))</x:f>
        <x:v>58</x:v>
      </x:c>
      <x:c r="O273" s="14" t="n">
        <x:f>K273*M273</x:f>
        <x:v>220</x:v>
      </x:c>
      <x:c r="P273" s="14" t="n">
        <x:f>O273*(1-L273)</x:f>
        <x:v>187</x:v>
      </x:c>
      <x:c r="Q273" s="14" t="n">
        <x:f>K273*N273</x:f>
        <x:v>116</x:v>
      </x:c>
      <x:c r="R273" s="14" t="n">
        <x:f>P273-Q273</x:f>
        <x:v>71</x:v>
      </x:c>
      <x:c r="S273" s="16" t="n">
        <x:f>IFERROR(R273/P273,0)</x:f>
        <x:v>0.37967914438502676</x:v>
      </x:c>
    </x:row>
    <x:row r="274" ht="15" hidden="0" customHeight="1">
      <x:c r="A274" t="str">
        <x:f>Raw_Orders!A274</x:f>
        <x:v>O0273</x:v>
      </x:c>
      <x:c r="B274" s="10" t="n">
        <x:f>Raw_Orders!B274</x:f>
        <x:v>45673</x:v>
      </x:c>
      <x:c r="C274" t="str">
        <x:f>Raw_Orders!C274</x:f>
        <x:v>C012</x:v>
      </x:c>
      <x:c r="D274" t="str">
        <x:f>INDEX(Customers!$B$2:$B$81,MATCH(C274,Customers!$A$2:$A$81,0))</x:f>
        <x:v>Customer 12</x:v>
      </x:c>
      <x:c r="E274" t="str">
        <x:f>INDEX(Customers!$C$2:$C$81,MATCH(C274,Customers!$A$2:$A$81,0))</x:f>
        <x:v>Small Business</x:v>
      </x:c>
      <x:c r="F274" t="str">
        <x:f>INDEX(Customers!$D$2:$D$81,MATCH(C274,Customers!$A$2:$A$81,0))</x:f>
        <x:v>West</x:v>
      </x:c>
      <x:c r="G274" t="str">
        <x:f>Raw_Orders!D274</x:f>
        <x:v>P012</x:v>
      </x:c>
      <x:c r="H274" t="str">
        <x:f>INDEX(Products!$B$2:$B$13,MATCH(G274,Products!$A$2:$A$13,0))</x:f>
        <x:v>Docking Station</x:v>
      </x:c>
      <x:c r="I274" t="str">
        <x:f>INDEX(Products!$C$2:$C$13,MATCH(G274,Products!$A$2:$A$13,0))</x:f>
        <x:v>Accessories</x:v>
      </x:c>
      <x:c r="J274" t="str">
        <x:f>Raw_Orders!G274</x:f>
        <x:v>Retail</x:v>
      </x:c>
      <x:c r="K274" t="n">
        <x:f>Raw_Orders!E274</x:f>
        <x:v>5</x:v>
      </x:c>
      <x:c r="L274" s="12" t="n">
        <x:f>Raw_Orders!F274</x:f>
        <x:v>0</x:v>
      </x:c>
      <x:c r="M274" s="14" t="n">
        <x:f>INDEX(Products!$D$2:$D$13,MATCH(G274,Products!$A$2:$A$13,0))</x:f>
        <x:v>180</x:v>
      </x:c>
      <x:c r="N274" s="14" t="n">
        <x:f>INDEX(Products!$E$2:$E$13,MATCH(G274,Products!$A$2:$A$13,0))</x:f>
        <x:v>104</x:v>
      </x:c>
      <x:c r="O274" s="14" t="n">
        <x:f>K274*M274</x:f>
        <x:v>900</x:v>
      </x:c>
      <x:c r="P274" s="14" t="n">
        <x:f>O274*(1-L274)</x:f>
        <x:v>900</x:v>
      </x:c>
      <x:c r="Q274" s="14" t="n">
        <x:f>K274*N274</x:f>
        <x:v>520</x:v>
      </x:c>
      <x:c r="R274" s="14" t="n">
        <x:f>P274-Q274</x:f>
        <x:v>380</x:v>
      </x:c>
      <x:c r="S274" s="16" t="n">
        <x:f>IFERROR(R274/P274,0)</x:f>
        <x:v>0.4222222222222222</x:v>
      </x:c>
    </x:row>
    <x:row r="275" ht="15" hidden="0" customHeight="1">
      <x:c r="A275" t="str">
        <x:f>Raw_Orders!A275</x:f>
        <x:v>O0274</x:v>
      </x:c>
      <x:c r="B275" s="10" t="n">
        <x:f>Raw_Orders!B275</x:f>
        <x:v>45872</x:v>
      </x:c>
      <x:c r="C275" t="str">
        <x:f>Raw_Orders!C275</x:f>
        <x:v>C059</x:v>
      </x:c>
      <x:c r="D275" t="str">
        <x:f>INDEX(Customers!$B$2:$B$81,MATCH(C275,Customers!$A$2:$A$81,0))</x:f>
        <x:v>Customer 59</x:v>
      </x:c>
      <x:c r="E275" t="str">
        <x:f>INDEX(Customers!$C$2:$C$81,MATCH(C275,Customers!$A$2:$A$81,0))</x:f>
        <x:v>Corporate</x:v>
      </x:c>
      <x:c r="F275" t="str">
        <x:f>INDEX(Customers!$D$2:$D$81,MATCH(C275,Customers!$A$2:$A$81,0))</x:f>
        <x:v>East</x:v>
      </x:c>
      <x:c r="G275" t="str">
        <x:f>Raw_Orders!D275</x:f>
        <x:v>P006</x:v>
      </x:c>
      <x:c r="H275" t="str">
        <x:f>INDEX(Products!$B$2:$B$13,MATCH(G275,Products!$A$2:$A$13,0))</x:f>
        <x:v>Laptop Stand</x:v>
      </x:c>
      <x:c r="I275" t="str">
        <x:f>INDEX(Products!$C$2:$C$13,MATCH(G275,Products!$A$2:$A$13,0))</x:f>
        <x:v>Office</x:v>
      </x:c>
      <x:c r="J275" t="str">
        <x:f>Raw_Orders!G275</x:f>
        <x:v>Retail</x:v>
      </x:c>
      <x:c r="K275" t="n">
        <x:f>Raw_Orders!E275</x:f>
        <x:v>2</x:v>
      </x:c>
      <x:c r="L275" s="12" t="n">
        <x:f>Raw_Orders!F275</x:f>
        <x:v>0</x:v>
      </x:c>
      <x:c r="M275" s="14" t="n">
        <x:f>INDEX(Products!$D$2:$D$13,MATCH(G275,Products!$A$2:$A$13,0))</x:f>
        <x:v>55</x:v>
      </x:c>
      <x:c r="N275" s="14" t="n">
        <x:f>INDEX(Products!$E$2:$E$13,MATCH(G275,Products!$A$2:$A$13,0))</x:f>
        <x:v>24</x:v>
      </x:c>
      <x:c r="O275" s="14" t="n">
        <x:f>K275*M275</x:f>
        <x:v>110</x:v>
      </x:c>
      <x:c r="P275" s="14" t="n">
        <x:f>O275*(1-L275)</x:f>
        <x:v>110</x:v>
      </x:c>
      <x:c r="Q275" s="14" t="n">
        <x:f>K275*N275</x:f>
        <x:v>48</x:v>
      </x:c>
      <x:c r="R275" s="14" t="n">
        <x:f>P275-Q275</x:f>
        <x:v>62</x:v>
      </x:c>
      <x:c r="S275" s="16" t="n">
        <x:f>IFERROR(R275/P275,0)</x:f>
        <x:v>0.5636363636363636</x:v>
      </x:c>
    </x:row>
    <x:row r="276" ht="15" hidden="0" customHeight="1">
      <x:c r="A276" t="str">
        <x:f>Raw_Orders!A276</x:f>
        <x:v>O0275</x:v>
      </x:c>
      <x:c r="B276" s="10" t="n">
        <x:f>Raw_Orders!B276</x:f>
        <x:v>45824</x:v>
      </x:c>
      <x:c r="C276" t="str">
        <x:f>Raw_Orders!C276</x:f>
        <x:v>C073</x:v>
      </x:c>
      <x:c r="D276" t="str">
        <x:f>INDEX(Customers!$B$2:$B$81,MATCH(C276,Customers!$A$2:$A$81,0))</x:f>
        <x:v>Customer 73</x:v>
      </x:c>
      <x:c r="E276" t="str">
        <x:f>INDEX(Customers!$C$2:$C$81,MATCH(C276,Customers!$A$2:$A$81,0))</x:f>
        <x:v>Consumer</x:v>
      </x:c>
      <x:c r="F276" t="str">
        <x:f>INDEX(Customers!$D$2:$D$81,MATCH(C276,Customers!$A$2:$A$81,0))</x:f>
        <x:v>North</x:v>
      </x:c>
      <x:c r="G276" t="str">
        <x:f>Raw_Orders!D276</x:f>
        <x:v>P010</x:v>
      </x:c>
      <x:c r="H276" t="str">
        <x:f>INDEX(Products!$B$2:$B$13,MATCH(G276,Products!$A$2:$A$13,0))</x:f>
        <x:v>Portable SSD</x:v>
      </x:c>
      <x:c r="I276" t="str">
        <x:f>INDEX(Products!$C$2:$C$13,MATCH(G276,Products!$A$2:$A$13,0))</x:f>
        <x:v>Storage</x:v>
      </x:c>
      <x:c r="J276" t="str">
        <x:f>Raw_Orders!G276</x:f>
        <x:v>Online</x:v>
      </x:c>
      <x:c r="K276" t="n">
        <x:f>Raw_Orders!E276</x:f>
        <x:v>1</x:v>
      </x:c>
      <x:c r="L276" s="12" t="n">
        <x:f>Raw_Orders!F276</x:f>
        <x:v>0</x:v>
      </x:c>
      <x:c r="M276" s="14" t="n">
        <x:f>INDEX(Products!$D$2:$D$13,MATCH(G276,Products!$A$2:$A$13,0))</x:f>
        <x:v>145</x:v>
      </x:c>
      <x:c r="N276" s="14" t="n">
        <x:f>INDEX(Products!$E$2:$E$13,MATCH(G276,Products!$A$2:$A$13,0))</x:f>
        <x:v>86</x:v>
      </x:c>
      <x:c r="O276" s="14" t="n">
        <x:f>K276*M276</x:f>
        <x:v>145</x:v>
      </x:c>
      <x:c r="P276" s="14" t="n">
        <x:f>O276*(1-L276)</x:f>
        <x:v>145</x:v>
      </x:c>
      <x:c r="Q276" s="14" t="n">
        <x:f>K276*N276</x:f>
        <x:v>86</x:v>
      </x:c>
      <x:c r="R276" s="14" t="n">
        <x:f>P276-Q276</x:f>
        <x:v>59</x:v>
      </x:c>
      <x:c r="S276" s="16" t="n">
        <x:f>IFERROR(R276/P276,0)</x:f>
        <x:v>0.4068965517241379</x:v>
      </x:c>
    </x:row>
    <x:row r="277" ht="15" hidden="0" customHeight="1">
      <x:c r="A277" t="str">
        <x:f>Raw_Orders!A277</x:f>
        <x:v>O0276</x:v>
      </x:c>
      <x:c r="B277" s="10" t="n">
        <x:f>Raw_Orders!B277</x:f>
        <x:v>45738</x:v>
      </x:c>
      <x:c r="C277" t="str">
        <x:f>Raw_Orders!C277</x:f>
        <x:v>C080</x:v>
      </x:c>
      <x:c r="D277" t="str">
        <x:f>INDEX(Customers!$B$2:$B$81,MATCH(C277,Customers!$A$2:$A$81,0))</x:f>
        <x:v>Customer 80</x:v>
      </x:c>
      <x:c r="E277" t="str">
        <x:f>INDEX(Customers!$C$2:$C$81,MATCH(C277,Customers!$A$2:$A$81,0))</x:f>
        <x:v>Corporate</x:v>
      </x:c>
      <x:c r="F277" t="str">
        <x:f>INDEX(Customers!$D$2:$D$81,MATCH(C277,Customers!$A$2:$A$81,0))</x:f>
        <x:v>West</x:v>
      </x:c>
      <x:c r="G277" t="str">
        <x:f>Raw_Orders!D277</x:f>
        <x:v>P001</x:v>
      </x:c>
      <x:c r="H277" t="str">
        <x:f>INDEX(Products!$B$2:$B$13,MATCH(G277,Products!$A$2:$A$13,0))</x:f>
        <x:v>Wireless Headset</x:v>
      </x:c>
      <x:c r="I277" t="str">
        <x:f>INDEX(Products!$C$2:$C$13,MATCH(G277,Products!$A$2:$A$13,0))</x:f>
        <x:v>Accessories</x:v>
      </x:c>
      <x:c r="J277" t="str">
        <x:f>Raw_Orders!G277</x:f>
        <x:v>Retail</x:v>
      </x:c>
      <x:c r="K277" t="n">
        <x:f>Raw_Orders!E277</x:f>
        <x:v>6</x:v>
      </x:c>
      <x:c r="L277" s="12" t="n">
        <x:f>Raw_Orders!F277</x:f>
        <x:v>0</x:v>
      </x:c>
      <x:c r="M277" s="14" t="n">
        <x:f>INDEX(Products!$D$2:$D$13,MATCH(G277,Products!$A$2:$A$13,0))</x:f>
        <x:v>85</x:v>
      </x:c>
      <x:c r="N277" s="14" t="n">
        <x:f>INDEX(Products!$E$2:$E$13,MATCH(G277,Products!$A$2:$A$13,0))</x:f>
        <x:v>42</x:v>
      </x:c>
      <x:c r="O277" s="14" t="n">
        <x:f>K277*M277</x:f>
        <x:v>510</x:v>
      </x:c>
      <x:c r="P277" s="14" t="n">
        <x:f>O277*(1-L277)</x:f>
        <x:v>510</x:v>
      </x:c>
      <x:c r="Q277" s="14" t="n">
        <x:f>K277*N277</x:f>
        <x:v>252</x:v>
      </x:c>
      <x:c r="R277" s="14" t="n">
        <x:f>P277-Q277</x:f>
        <x:v>258</x:v>
      </x:c>
      <x:c r="S277" s="16" t="n">
        <x:f>IFERROR(R277/P277,0)</x:f>
        <x:v>0.5058823529411764</x:v>
      </x:c>
    </x:row>
    <x:row r="278" ht="15" hidden="0" customHeight="1">
      <x:c r="A278" t="str">
        <x:f>Raw_Orders!A278</x:f>
        <x:v>O0277</x:v>
      </x:c>
      <x:c r="B278" s="10" t="n">
        <x:f>Raw_Orders!B278</x:f>
        <x:v>45884</x:v>
      </x:c>
      <x:c r="C278" t="str">
        <x:f>Raw_Orders!C278</x:f>
        <x:v>C055</x:v>
      </x:c>
      <x:c r="D278" t="str">
        <x:f>INDEX(Customers!$B$2:$B$81,MATCH(C278,Customers!$A$2:$A$81,0))</x:f>
        <x:v>Customer 55</x:v>
      </x:c>
      <x:c r="E278" t="str">
        <x:f>INDEX(Customers!$C$2:$C$81,MATCH(C278,Customers!$A$2:$A$81,0))</x:f>
        <x:v>Consumer</x:v>
      </x:c>
      <x:c r="F278" t="str">
        <x:f>INDEX(Customers!$D$2:$D$81,MATCH(C278,Customers!$A$2:$A$81,0))</x:f>
        <x:v>East</x:v>
      </x:c>
      <x:c r="G278" t="str">
        <x:f>Raw_Orders!D278</x:f>
        <x:v>P008</x:v>
      </x:c>
      <x:c r="H278" t="str">
        <x:f>INDEX(Products!$B$2:$B$13,MATCH(G278,Products!$A$2:$A$13,0))</x:f>
        <x:v>Webcam</x:v>
      </x:c>
      <x:c r="I278" t="str">
        <x:f>INDEX(Products!$C$2:$C$13,MATCH(G278,Products!$A$2:$A$13,0))</x:f>
        <x:v>Accessories</x:v>
      </x:c>
      <x:c r="J278" t="str">
        <x:f>Raw_Orders!G278</x:f>
        <x:v>Retail</x:v>
      </x:c>
      <x:c r="K278" t="n">
        <x:f>Raw_Orders!E278</x:f>
        <x:v>5</x:v>
      </x:c>
      <x:c r="L278" s="12" t="n">
        <x:f>Raw_Orders!F278</x:f>
        <x:v>0.05</x:v>
      </x:c>
      <x:c r="M278" s="14" t="n">
        <x:f>INDEX(Products!$D$2:$D$13,MATCH(G278,Products!$A$2:$A$13,0))</x:f>
        <x:v>95</x:v>
      </x:c>
      <x:c r="N278" s="14" t="n">
        <x:f>INDEX(Products!$E$2:$E$13,MATCH(G278,Products!$A$2:$A$13,0))</x:f>
        <x:v>49</x:v>
      </x:c>
      <x:c r="O278" s="14" t="n">
        <x:f>K278*M278</x:f>
        <x:v>475</x:v>
      </x:c>
      <x:c r="P278" s="14" t="n">
        <x:f>O278*(1-L278)</x:f>
        <x:v>451.25</x:v>
      </x:c>
      <x:c r="Q278" s="14" t="n">
        <x:f>K278*N278</x:f>
        <x:v>245</x:v>
      </x:c>
      <x:c r="R278" s="14" t="n">
        <x:f>P278-Q278</x:f>
        <x:v>206.25</x:v>
      </x:c>
      <x:c r="S278" s="16" t="n">
        <x:f>IFERROR(R278/P278,0)</x:f>
        <x:v>0.45706371191135736</x:v>
      </x:c>
    </x:row>
    <x:row r="279" ht="15" hidden="0" customHeight="1">
      <x:c r="A279" t="str">
        <x:f>Raw_Orders!A279</x:f>
        <x:v>O0278</x:v>
      </x:c>
      <x:c r="B279" s="10" t="n">
        <x:f>Raw_Orders!B279</x:f>
        <x:v>45797</x:v>
      </x:c>
      <x:c r="C279" t="str">
        <x:f>Raw_Orders!C279</x:f>
        <x:v>C028</x:v>
      </x:c>
      <x:c r="D279" t="str">
        <x:f>INDEX(Customers!$B$2:$B$81,MATCH(C279,Customers!$A$2:$A$81,0))</x:f>
        <x:v>Customer 28</x:v>
      </x:c>
      <x:c r="E279" t="str">
        <x:f>INDEX(Customers!$C$2:$C$81,MATCH(C279,Customers!$A$2:$A$81,0))</x:f>
        <x:v>Consumer</x:v>
      </x:c>
      <x:c r="F279" t="str">
        <x:f>INDEX(Customers!$D$2:$D$81,MATCH(C279,Customers!$A$2:$A$81,0))</x:f>
        <x:v>West</x:v>
      </x:c>
      <x:c r="G279" t="str">
        <x:f>Raw_Orders!D279</x:f>
        <x:v>P009</x:v>
      </x:c>
      <x:c r="H279" t="str">
        <x:f>INDEX(Products!$B$2:$B$13,MATCH(G279,Products!$A$2:$A$13,0))</x:f>
        <x:v>Desk Lamp</x:v>
      </x:c>
      <x:c r="I279" t="str">
        <x:f>INDEX(Products!$C$2:$C$13,MATCH(G279,Products!$A$2:$A$13,0))</x:f>
        <x:v>Office</x:v>
      </x:c>
      <x:c r="J279" t="str">
        <x:f>Raw_Orders!G279</x:f>
        <x:v>Retail</x:v>
      </x:c>
      <x:c r="K279" t="n">
        <x:f>Raw_Orders!E279</x:f>
        <x:v>1</x:v>
      </x:c>
      <x:c r="L279" s="12" t="n">
        <x:f>Raw_Orders!F279</x:f>
        <x:v>0</x:v>
      </x:c>
      <x:c r="M279" s="14" t="n">
        <x:f>INDEX(Products!$D$2:$D$13,MATCH(G279,Products!$A$2:$A$13,0))</x:f>
        <x:v>70</x:v>
      </x:c>
      <x:c r="N279" s="14" t="n">
        <x:f>INDEX(Products!$E$2:$E$13,MATCH(G279,Products!$A$2:$A$13,0))</x:f>
        <x:v>29</x:v>
      </x:c>
      <x:c r="O279" s="14" t="n">
        <x:f>K279*M279</x:f>
        <x:v>70</x:v>
      </x:c>
      <x:c r="P279" s="14" t="n">
        <x:f>O279*(1-L279)</x:f>
        <x:v>70</x:v>
      </x:c>
      <x:c r="Q279" s="14" t="n">
        <x:f>K279*N279</x:f>
        <x:v>29</x:v>
      </x:c>
      <x:c r="R279" s="14" t="n">
        <x:f>P279-Q279</x:f>
        <x:v>41</x:v>
      </x:c>
      <x:c r="S279" s="16" t="n">
        <x:f>IFERROR(R279/P279,0)</x:f>
        <x:v>0.5857142857142857</x:v>
      </x:c>
    </x:row>
    <x:row r="280" ht="15" hidden="0" customHeight="1">
      <x:c r="A280" t="str">
        <x:f>Raw_Orders!A280</x:f>
        <x:v>O0279</x:v>
      </x:c>
      <x:c r="B280" s="10" t="n">
        <x:f>Raw_Orders!B280</x:f>
        <x:v>45714</x:v>
      </x:c>
      <x:c r="C280" t="str">
        <x:f>Raw_Orders!C280</x:f>
        <x:v>C037</x:v>
      </x:c>
      <x:c r="D280" t="str">
        <x:f>INDEX(Customers!$B$2:$B$81,MATCH(C280,Customers!$A$2:$A$81,0))</x:f>
        <x:v>Customer 37</x:v>
      </x:c>
      <x:c r="E280" t="str">
        <x:f>INDEX(Customers!$C$2:$C$81,MATCH(C280,Customers!$A$2:$A$81,0))</x:f>
        <x:v>Consumer</x:v>
      </x:c>
      <x:c r="F280" t="str">
        <x:f>INDEX(Customers!$D$2:$D$81,MATCH(C280,Customers!$A$2:$A$81,0))</x:f>
        <x:v>North</x:v>
      </x:c>
      <x:c r="G280" t="str">
        <x:f>Raw_Orders!D280</x:f>
        <x:v>P011</x:v>
      </x:c>
      <x:c r="H280" t="str">
        <x:f>INDEX(Products!$B$2:$B$13,MATCH(G280,Products!$A$2:$A$13,0))</x:f>
        <x:v>External HDD</x:v>
      </x:c>
      <x:c r="I280" t="str">
        <x:f>INDEX(Products!$C$2:$C$13,MATCH(G280,Products!$A$2:$A$13,0))</x:f>
        <x:v>Storage</x:v>
      </x:c>
      <x:c r="J280" t="str">
        <x:f>Raw_Orders!G280</x:f>
        <x:v>Retail</x:v>
      </x:c>
      <x:c r="K280" t="n">
        <x:f>Raw_Orders!E280</x:f>
        <x:v>6</x:v>
      </x:c>
      <x:c r="L280" s="12" t="n">
        <x:f>Raw_Orders!F280</x:f>
        <x:v>0.1</x:v>
      </x:c>
      <x:c r="M280" s="14" t="n">
        <x:f>INDEX(Products!$D$2:$D$13,MATCH(G280,Products!$A$2:$A$13,0))</x:f>
        <x:v>120</x:v>
      </x:c>
      <x:c r="N280" s="14" t="n">
        <x:f>INDEX(Products!$E$2:$E$13,MATCH(G280,Products!$A$2:$A$13,0))</x:f>
        <x:v>72</x:v>
      </x:c>
      <x:c r="O280" s="14" t="n">
        <x:f>K280*M280</x:f>
        <x:v>720</x:v>
      </x:c>
      <x:c r="P280" s="14" t="n">
        <x:f>O280*(1-L280)</x:f>
        <x:v>648</x:v>
      </x:c>
      <x:c r="Q280" s="14" t="n">
        <x:f>K280*N280</x:f>
        <x:v>432</x:v>
      </x:c>
      <x:c r="R280" s="14" t="n">
        <x:f>P280-Q280</x:f>
        <x:v>216</x:v>
      </x:c>
      <x:c r="S280" s="16" t="n">
        <x:f>IFERROR(R280/P280,0)</x:f>
        <x:v>0.3333333333333333</x:v>
      </x:c>
    </x:row>
    <x:row r="281" ht="15" hidden="0" customHeight="1">
      <x:c r="A281" t="str">
        <x:f>Raw_Orders!A281</x:f>
        <x:v>O0280</x:v>
      </x:c>
      <x:c r="B281" s="10" t="n">
        <x:f>Raw_Orders!B281</x:f>
        <x:v>45927</x:v>
      </x:c>
      <x:c r="C281" t="str">
        <x:f>Raw_Orders!C281</x:f>
        <x:v>C040</x:v>
      </x:c>
      <x:c r="D281" t="str">
        <x:f>INDEX(Customers!$B$2:$B$81,MATCH(C281,Customers!$A$2:$A$81,0))</x:f>
        <x:v>Customer 40</x:v>
      </x:c>
      <x:c r="E281" t="str">
        <x:f>INDEX(Customers!$C$2:$C$81,MATCH(C281,Customers!$A$2:$A$81,0))</x:f>
        <x:v>Consumer</x:v>
      </x:c>
      <x:c r="F281" t="str">
        <x:f>INDEX(Customers!$D$2:$D$81,MATCH(C281,Customers!$A$2:$A$81,0))</x:f>
        <x:v>West</x:v>
      </x:c>
      <x:c r="G281" t="str">
        <x:f>Raw_Orders!D281</x:f>
        <x:v>P001</x:v>
      </x:c>
      <x:c r="H281" t="str">
        <x:f>INDEX(Products!$B$2:$B$13,MATCH(G281,Products!$A$2:$A$13,0))</x:f>
        <x:v>Wireless Headset</x:v>
      </x:c>
      <x:c r="I281" t="str">
        <x:f>INDEX(Products!$C$2:$C$13,MATCH(G281,Products!$A$2:$A$13,0))</x:f>
        <x:v>Accessories</x:v>
      </x:c>
      <x:c r="J281" t="str">
        <x:f>Raw_Orders!G281</x:f>
        <x:v>Partner</x:v>
      </x:c>
      <x:c r="K281" t="n">
        <x:f>Raw_Orders!E281</x:f>
        <x:v>2</x:v>
      </x:c>
      <x:c r="L281" s="12" t="n">
        <x:f>Raw_Orders!F281</x:f>
        <x:v>0.05</x:v>
      </x:c>
      <x:c r="M281" s="14" t="n">
        <x:f>INDEX(Products!$D$2:$D$13,MATCH(G281,Products!$A$2:$A$13,0))</x:f>
        <x:v>85</x:v>
      </x:c>
      <x:c r="N281" s="14" t="n">
        <x:f>INDEX(Products!$E$2:$E$13,MATCH(G281,Products!$A$2:$A$13,0))</x:f>
        <x:v>42</x:v>
      </x:c>
      <x:c r="O281" s="14" t="n">
        <x:f>K281*M281</x:f>
        <x:v>170</x:v>
      </x:c>
      <x:c r="P281" s="14" t="n">
        <x:f>O281*(1-L281)</x:f>
        <x:v>161.5</x:v>
      </x:c>
      <x:c r="Q281" s="14" t="n">
        <x:f>K281*N281</x:f>
        <x:v>84</x:v>
      </x:c>
      <x:c r="R281" s="14" t="n">
        <x:f>P281-Q281</x:f>
        <x:v>77.5</x:v>
      </x:c>
      <x:c r="S281" s="16" t="n">
        <x:f>IFERROR(R281/P281,0)</x:f>
        <x:v>0.47987616099071206</x:v>
      </x:c>
    </x:row>
    <x:row r="282" ht="15" hidden="0" customHeight="1">
      <x:c r="A282" t="str">
        <x:f>Raw_Orders!A282</x:f>
        <x:v>O0281</x:v>
      </x:c>
      <x:c r="B282" s="10" t="n">
        <x:f>Raw_Orders!B282</x:f>
        <x:v>45686</x:v>
      </x:c>
      <x:c r="C282" t="str">
        <x:f>Raw_Orders!C282</x:f>
        <x:v>C001</x:v>
      </x:c>
      <x:c r="D282" t="str">
        <x:f>INDEX(Customers!$B$2:$B$81,MATCH(C282,Customers!$A$2:$A$81,0))</x:f>
        <x:v>Customer 01</x:v>
      </x:c>
      <x:c r="E282" t="str">
        <x:f>INDEX(Customers!$C$2:$C$81,MATCH(C282,Customers!$A$2:$A$81,0))</x:f>
        <x:v>Consumer</x:v>
      </x:c>
      <x:c r="F282" t="str">
        <x:f>INDEX(Customers!$D$2:$D$81,MATCH(C282,Customers!$A$2:$A$81,0))</x:f>
        <x:v>North</x:v>
      </x:c>
      <x:c r="G282" t="str">
        <x:f>Raw_Orders!D282</x:f>
        <x:v>P004</x:v>
      </x:c>
      <x:c r="H282" t="str">
        <x:f>INDEX(Products!$B$2:$B$13,MATCH(G282,Products!$A$2:$A$13,0))</x:f>
        <x:v>24in Monitor</x:v>
      </x:c>
      <x:c r="I282" t="str">
        <x:f>INDEX(Products!$C$2:$C$13,MATCH(G282,Products!$A$2:$A$13,0))</x:f>
        <x:v>Displays</x:v>
      </x:c>
      <x:c r="J282" t="str">
        <x:f>Raw_Orders!G282</x:f>
        <x:v>Online</x:v>
      </x:c>
      <x:c r="K282" t="n">
        <x:f>Raw_Orders!E282</x:f>
        <x:v>3</x:v>
      </x:c>
      <x:c r="L282" s="12" t="n">
        <x:f>Raw_Orders!F282</x:f>
        <x:v>0</x:v>
      </x:c>
      <x:c r="M282" s="14" t="n">
        <x:f>INDEX(Products!$D$2:$D$13,MATCH(G282,Products!$A$2:$A$13,0))</x:f>
        <x:v>220</x:v>
      </x:c>
      <x:c r="N282" s="14" t="n">
        <x:f>INDEX(Products!$E$2:$E$13,MATCH(G282,Products!$A$2:$A$13,0))</x:f>
        <x:v>142</x:v>
      </x:c>
      <x:c r="O282" s="14" t="n">
        <x:f>K282*M282</x:f>
        <x:v>660</x:v>
      </x:c>
      <x:c r="P282" s="14" t="n">
        <x:f>O282*(1-L282)</x:f>
        <x:v>660</x:v>
      </x:c>
      <x:c r="Q282" s="14" t="n">
        <x:f>K282*N282</x:f>
        <x:v>426</x:v>
      </x:c>
      <x:c r="R282" s="14" t="n">
        <x:f>P282-Q282</x:f>
        <x:v>234</x:v>
      </x:c>
      <x:c r="S282" s="16" t="n">
        <x:f>IFERROR(R282/P282,0)</x:f>
        <x:v>0.35454545454545455</x:v>
      </x:c>
    </x:row>
    <x:row r="283" ht="15" hidden="0" customHeight="1">
      <x:c r="A283" t="str">
        <x:f>Raw_Orders!A283</x:f>
        <x:v>O0282</x:v>
      </x:c>
      <x:c r="B283" s="10" t="n">
        <x:f>Raw_Orders!B283</x:f>
        <x:v>45788</x:v>
      </x:c>
      <x:c r="C283" t="str">
        <x:f>Raw_Orders!C283</x:f>
        <x:v>C038</x:v>
      </x:c>
      <x:c r="D283" t="str">
        <x:f>INDEX(Customers!$B$2:$B$81,MATCH(C283,Customers!$A$2:$A$81,0))</x:f>
        <x:v>Customer 38</x:v>
      </x:c>
      <x:c r="E283" t="str">
        <x:f>INDEX(Customers!$C$2:$C$81,MATCH(C283,Customers!$A$2:$A$81,0))</x:f>
        <x:v>Corporate</x:v>
      </x:c>
      <x:c r="F283" t="str">
        <x:f>INDEX(Customers!$D$2:$D$81,MATCH(C283,Customers!$A$2:$A$81,0))</x:f>
        <x:v>South</x:v>
      </x:c>
      <x:c r="G283" t="str">
        <x:f>Raw_Orders!D283</x:f>
        <x:v>P006</x:v>
      </x:c>
      <x:c r="H283" t="str">
        <x:f>INDEX(Products!$B$2:$B$13,MATCH(G283,Products!$A$2:$A$13,0))</x:f>
        <x:v>Laptop Stand</x:v>
      </x:c>
      <x:c r="I283" t="str">
        <x:f>INDEX(Products!$C$2:$C$13,MATCH(G283,Products!$A$2:$A$13,0))</x:f>
        <x:v>Office</x:v>
      </x:c>
      <x:c r="J283" t="str">
        <x:f>Raw_Orders!G283</x:f>
        <x:v>Retail</x:v>
      </x:c>
      <x:c r="K283" t="n">
        <x:f>Raw_Orders!E283</x:f>
        <x:v>1</x:v>
      </x:c>
      <x:c r="L283" s="12" t="n">
        <x:f>Raw_Orders!F283</x:f>
        <x:v>0</x:v>
      </x:c>
      <x:c r="M283" s="14" t="n">
        <x:f>INDEX(Products!$D$2:$D$13,MATCH(G283,Products!$A$2:$A$13,0))</x:f>
        <x:v>55</x:v>
      </x:c>
      <x:c r="N283" s="14" t="n">
        <x:f>INDEX(Products!$E$2:$E$13,MATCH(G283,Products!$A$2:$A$13,0))</x:f>
        <x:v>24</x:v>
      </x:c>
      <x:c r="O283" s="14" t="n">
        <x:f>K283*M283</x:f>
        <x:v>55</x:v>
      </x:c>
      <x:c r="P283" s="14" t="n">
        <x:f>O283*(1-L283)</x:f>
        <x:v>55</x:v>
      </x:c>
      <x:c r="Q283" s="14" t="n">
        <x:f>K283*N283</x:f>
        <x:v>24</x:v>
      </x:c>
      <x:c r="R283" s="14" t="n">
        <x:f>P283-Q283</x:f>
        <x:v>31</x:v>
      </x:c>
      <x:c r="S283" s="16" t="n">
        <x:f>IFERROR(R283/P283,0)</x:f>
        <x:v>0.5636363636363636</x:v>
      </x:c>
    </x:row>
    <x:row r="284" ht="15" hidden="0" customHeight="1">
      <x:c r="A284" t="str">
        <x:f>Raw_Orders!A284</x:f>
        <x:v>O0283</x:v>
      </x:c>
      <x:c r="B284" s="10" t="n">
        <x:f>Raw_Orders!B284</x:f>
        <x:v>45878</x:v>
      </x:c>
      <x:c r="C284" t="str">
        <x:f>Raw_Orders!C284</x:f>
        <x:v>C023</x:v>
      </x:c>
      <x:c r="D284" t="str">
        <x:f>INDEX(Customers!$B$2:$B$81,MATCH(C284,Customers!$A$2:$A$81,0))</x:f>
        <x:v>Customer 23</x:v>
      </x:c>
      <x:c r="E284" t="str">
        <x:f>INDEX(Customers!$C$2:$C$81,MATCH(C284,Customers!$A$2:$A$81,0))</x:f>
        <x:v>Corporate</x:v>
      </x:c>
      <x:c r="F284" t="str">
        <x:f>INDEX(Customers!$D$2:$D$81,MATCH(C284,Customers!$A$2:$A$81,0))</x:f>
        <x:v>East</x:v>
      </x:c>
      <x:c r="G284" t="str">
        <x:f>Raw_Orders!D284</x:f>
        <x:v>P003</x:v>
      </x:c>
      <x:c r="H284" t="str">
        <x:f>INDEX(Products!$B$2:$B$13,MATCH(G284,Products!$A$2:$A$13,0))</x:f>
        <x:v>USB-C Hub</x:v>
      </x:c>
      <x:c r="I284" t="str">
        <x:f>INDEX(Products!$C$2:$C$13,MATCH(G284,Products!$A$2:$A$13,0))</x:f>
        <x:v>Accessories</x:v>
      </x:c>
      <x:c r="J284" t="str">
        <x:f>Raw_Orders!G284</x:f>
        <x:v>Partner</x:v>
      </x:c>
      <x:c r="K284" t="n">
        <x:f>Raw_Orders!E284</x:f>
        <x:v>4</x:v>
      </x:c>
      <x:c r="L284" s="12" t="n">
        <x:f>Raw_Orders!F284</x:f>
        <x:v>0.1</x:v>
      </x:c>
      <x:c r="M284" s="14" t="n">
        <x:f>INDEX(Products!$D$2:$D$13,MATCH(G284,Products!$A$2:$A$13,0))</x:f>
        <x:v>65</x:v>
      </x:c>
      <x:c r="N284" s="14" t="n">
        <x:f>INDEX(Products!$E$2:$E$13,MATCH(G284,Products!$A$2:$A$13,0))</x:f>
        <x:v>31</x:v>
      </x:c>
      <x:c r="O284" s="14" t="n">
        <x:f>K284*M284</x:f>
        <x:v>260</x:v>
      </x:c>
      <x:c r="P284" s="14" t="n">
        <x:f>O284*(1-L284)</x:f>
        <x:v>234</x:v>
      </x:c>
      <x:c r="Q284" s="14" t="n">
        <x:f>K284*N284</x:f>
        <x:v>124</x:v>
      </x:c>
      <x:c r="R284" s="14" t="n">
        <x:f>P284-Q284</x:f>
        <x:v>110</x:v>
      </x:c>
      <x:c r="S284" s="16" t="n">
        <x:f>IFERROR(R284/P284,0)</x:f>
        <x:v>0.4700854700854701</x:v>
      </x:c>
    </x:row>
    <x:row r="285" ht="15" hidden="0" customHeight="1">
      <x:c r="A285" t="str">
        <x:f>Raw_Orders!A285</x:f>
        <x:v>O0284</x:v>
      </x:c>
      <x:c r="B285" s="10" t="n">
        <x:f>Raw_Orders!B285</x:f>
        <x:v>45775</x:v>
      </x:c>
      <x:c r="C285" t="str">
        <x:f>Raw_Orders!C285</x:f>
        <x:v>C065</x:v>
      </x:c>
      <x:c r="D285" t="str">
        <x:f>INDEX(Customers!$B$2:$B$81,MATCH(C285,Customers!$A$2:$A$81,0))</x:f>
        <x:v>Customer 65</x:v>
      </x:c>
      <x:c r="E285" t="str">
        <x:f>INDEX(Customers!$C$2:$C$81,MATCH(C285,Customers!$A$2:$A$81,0))</x:f>
        <x:v>Corporate</x:v>
      </x:c>
      <x:c r="F285" t="str">
        <x:f>INDEX(Customers!$D$2:$D$81,MATCH(C285,Customers!$A$2:$A$81,0))</x:f>
        <x:v>North</x:v>
      </x:c>
      <x:c r="G285" t="str">
        <x:f>Raw_Orders!D285</x:f>
        <x:v>P009</x:v>
      </x:c>
      <x:c r="H285" t="str">
        <x:f>INDEX(Products!$B$2:$B$13,MATCH(G285,Products!$A$2:$A$13,0))</x:f>
        <x:v>Desk Lamp</x:v>
      </x:c>
      <x:c r="I285" t="str">
        <x:f>INDEX(Products!$C$2:$C$13,MATCH(G285,Products!$A$2:$A$13,0))</x:f>
        <x:v>Office</x:v>
      </x:c>
      <x:c r="J285" t="str">
        <x:f>Raw_Orders!G285</x:f>
        <x:v>Online</x:v>
      </x:c>
      <x:c r="K285" t="n">
        <x:f>Raw_Orders!E285</x:f>
        <x:v>6</x:v>
      </x:c>
      <x:c r="L285" s="12" t="n">
        <x:f>Raw_Orders!F285</x:f>
        <x:v>0</x:v>
      </x:c>
      <x:c r="M285" s="14" t="n">
        <x:f>INDEX(Products!$D$2:$D$13,MATCH(G285,Products!$A$2:$A$13,0))</x:f>
        <x:v>70</x:v>
      </x:c>
      <x:c r="N285" s="14" t="n">
        <x:f>INDEX(Products!$E$2:$E$13,MATCH(G285,Products!$A$2:$A$13,0))</x:f>
        <x:v>29</x:v>
      </x:c>
      <x:c r="O285" s="14" t="n">
        <x:f>K285*M285</x:f>
        <x:v>420</x:v>
      </x:c>
      <x:c r="P285" s="14" t="n">
        <x:f>O285*(1-L285)</x:f>
        <x:v>420</x:v>
      </x:c>
      <x:c r="Q285" s="14" t="n">
        <x:f>K285*N285</x:f>
        <x:v>174</x:v>
      </x:c>
      <x:c r="R285" s="14" t="n">
        <x:f>P285-Q285</x:f>
        <x:v>246</x:v>
      </x:c>
      <x:c r="S285" s="16" t="n">
        <x:f>IFERROR(R285/P285,0)</x:f>
        <x:v>0.5857142857142857</x:v>
      </x:c>
    </x:row>
    <x:row r="286" ht="15" hidden="0" customHeight="1">
      <x:c r="A286" t="str">
        <x:f>Raw_Orders!A286</x:f>
        <x:v>O0285</x:v>
      </x:c>
      <x:c r="B286" s="10" t="n">
        <x:f>Raw_Orders!B286</x:f>
        <x:v>45861</x:v>
      </x:c>
      <x:c r="C286" t="str">
        <x:f>Raw_Orders!C286</x:f>
        <x:v>C006</x:v>
      </x:c>
      <x:c r="D286" t="str">
        <x:f>INDEX(Customers!$B$2:$B$81,MATCH(C286,Customers!$A$2:$A$81,0))</x:f>
        <x:v>Customer 06</x:v>
      </x:c>
      <x:c r="E286" t="str">
        <x:f>INDEX(Customers!$C$2:$C$81,MATCH(C286,Customers!$A$2:$A$81,0))</x:f>
        <x:v>Small Business</x:v>
      </x:c>
      <x:c r="F286" t="str">
        <x:f>INDEX(Customers!$D$2:$D$81,MATCH(C286,Customers!$A$2:$A$81,0))</x:f>
        <x:v>South</x:v>
      </x:c>
      <x:c r="G286" t="str">
        <x:f>Raw_Orders!D286</x:f>
        <x:v>P007</x:v>
      </x:c>
      <x:c r="H286" t="str">
        <x:f>INDEX(Products!$B$2:$B$13,MATCH(G286,Products!$A$2:$A$13,0))</x:f>
        <x:v>Ergonomic Chair</x:v>
      </x:c>
      <x:c r="I286" t="str">
        <x:f>INDEX(Products!$C$2:$C$13,MATCH(G286,Products!$A$2:$A$13,0))</x:f>
        <x:v>Office</x:v>
      </x:c>
      <x:c r="J286" t="str">
        <x:f>Raw_Orders!G286</x:f>
        <x:v>Online</x:v>
      </x:c>
      <x:c r="K286" t="n">
        <x:f>Raw_Orders!E286</x:f>
        <x:v>1</x:v>
      </x:c>
      <x:c r="L286" s="12" t="n">
        <x:f>Raw_Orders!F286</x:f>
        <x:v>0.05</x:v>
      </x:c>
      <x:c r="M286" s="14" t="n">
        <x:f>INDEX(Products!$D$2:$D$13,MATCH(G286,Products!$A$2:$A$13,0))</x:f>
        <x:v>390</x:v>
      </x:c>
      <x:c r="N286" s="14" t="n">
        <x:f>INDEX(Products!$E$2:$E$13,MATCH(G286,Products!$A$2:$A$13,0))</x:f>
        <x:v>245</x:v>
      </x:c>
      <x:c r="O286" s="14" t="n">
        <x:f>K286*M286</x:f>
        <x:v>390</x:v>
      </x:c>
      <x:c r="P286" s="14" t="n">
        <x:f>O286*(1-L286)</x:f>
        <x:v>370.5</x:v>
      </x:c>
      <x:c r="Q286" s="14" t="n">
        <x:f>K286*N286</x:f>
        <x:v>245</x:v>
      </x:c>
      <x:c r="R286" s="14" t="n">
        <x:f>P286-Q286</x:f>
        <x:v>125.5</x:v>
      </x:c>
      <x:c r="S286" s="16" t="n">
        <x:f>IFERROR(R286/P286,0)</x:f>
        <x:v>0.33873144399460187</x:v>
      </x:c>
    </x:row>
    <x:row r="287" ht="15" hidden="0" customHeight="1">
      <x:c r="A287" t="str">
        <x:f>Raw_Orders!A287</x:f>
        <x:v>O0286</x:v>
      </x:c>
      <x:c r="B287" s="10" t="n">
        <x:f>Raw_Orders!B287</x:f>
        <x:v>45818</x:v>
      </x:c>
      <x:c r="C287" t="str">
        <x:f>Raw_Orders!C287</x:f>
        <x:v>C074</x:v>
      </x:c>
      <x:c r="D287" t="str">
        <x:f>INDEX(Customers!$B$2:$B$81,MATCH(C287,Customers!$A$2:$A$81,0))</x:f>
        <x:v>Customer 74</x:v>
      </x:c>
      <x:c r="E287" t="str">
        <x:f>INDEX(Customers!$C$2:$C$81,MATCH(C287,Customers!$A$2:$A$81,0))</x:f>
        <x:v>Corporate</x:v>
      </x:c>
      <x:c r="F287" t="str">
        <x:f>INDEX(Customers!$D$2:$D$81,MATCH(C287,Customers!$A$2:$A$81,0))</x:f>
        <x:v>South</x:v>
      </x:c>
      <x:c r="G287" t="str">
        <x:f>Raw_Orders!D287</x:f>
        <x:v>P007</x:v>
      </x:c>
      <x:c r="H287" t="str">
        <x:f>INDEX(Products!$B$2:$B$13,MATCH(G287,Products!$A$2:$A$13,0))</x:f>
        <x:v>Ergonomic Chair</x:v>
      </x:c>
      <x:c r="I287" t="str">
        <x:f>INDEX(Products!$C$2:$C$13,MATCH(G287,Products!$A$2:$A$13,0))</x:f>
        <x:v>Office</x:v>
      </x:c>
      <x:c r="J287" t="str">
        <x:f>Raw_Orders!G287</x:f>
        <x:v>Partner</x:v>
      </x:c>
      <x:c r="K287" t="n">
        <x:f>Raw_Orders!E287</x:f>
        <x:v>5</x:v>
      </x:c>
      <x:c r="L287" s="12" t="n">
        <x:f>Raw_Orders!F287</x:f>
        <x:v>0.05</x:v>
      </x:c>
      <x:c r="M287" s="14" t="n">
        <x:f>INDEX(Products!$D$2:$D$13,MATCH(G287,Products!$A$2:$A$13,0))</x:f>
        <x:v>390</x:v>
      </x:c>
      <x:c r="N287" s="14" t="n">
        <x:f>INDEX(Products!$E$2:$E$13,MATCH(G287,Products!$A$2:$A$13,0))</x:f>
        <x:v>245</x:v>
      </x:c>
      <x:c r="O287" s="14" t="n">
        <x:f>K287*M287</x:f>
        <x:v>1950</x:v>
      </x:c>
      <x:c r="P287" s="14" t="n">
        <x:f>O287*(1-L287)</x:f>
        <x:v>1852.5</x:v>
      </x:c>
      <x:c r="Q287" s="14" t="n">
        <x:f>K287*N287</x:f>
        <x:v>1225</x:v>
      </x:c>
      <x:c r="R287" s="14" t="n">
        <x:f>P287-Q287</x:f>
        <x:v>627.5</x:v>
      </x:c>
      <x:c r="S287" s="16" t="n">
        <x:f>IFERROR(R287/P287,0)</x:f>
        <x:v>0.33873144399460187</x:v>
      </x:c>
    </x:row>
    <x:row r="288" ht="15" hidden="0" customHeight="1">
      <x:c r="A288" t="str">
        <x:f>Raw_Orders!A288</x:f>
        <x:v>O0287</x:v>
      </x:c>
      <x:c r="B288" s="10" t="n">
        <x:f>Raw_Orders!B288</x:f>
        <x:v>45985</x:v>
      </x:c>
      <x:c r="C288" t="str">
        <x:f>Raw_Orders!C288</x:f>
        <x:v>C054</x:v>
      </x:c>
      <x:c r="D288" t="str">
        <x:f>INDEX(Customers!$B$2:$B$81,MATCH(C288,Customers!$A$2:$A$81,0))</x:f>
        <x:v>Customer 54</x:v>
      </x:c>
      <x:c r="E288" t="str">
        <x:f>INDEX(Customers!$C$2:$C$81,MATCH(C288,Customers!$A$2:$A$81,0))</x:f>
        <x:v>Small Business</x:v>
      </x:c>
      <x:c r="F288" t="str">
        <x:f>INDEX(Customers!$D$2:$D$81,MATCH(C288,Customers!$A$2:$A$81,0))</x:f>
        <x:v>South</x:v>
      </x:c>
      <x:c r="G288" t="str">
        <x:f>Raw_Orders!D288</x:f>
        <x:v>P005</x:v>
      </x:c>
      <x:c r="H288" t="str">
        <x:f>INDEX(Products!$B$2:$B$13,MATCH(G288,Products!$A$2:$A$13,0))</x:f>
        <x:v>27in Monitor</x:v>
      </x:c>
      <x:c r="I288" t="str">
        <x:f>INDEX(Products!$C$2:$C$13,MATCH(G288,Products!$A$2:$A$13,0))</x:f>
        <x:v>Displays</x:v>
      </x:c>
      <x:c r="J288" t="str">
        <x:f>Raw_Orders!G288</x:f>
        <x:v>Online</x:v>
      </x:c>
      <x:c r="K288" t="n">
        <x:f>Raw_Orders!E288</x:f>
        <x:v>1</x:v>
      </x:c>
      <x:c r="L288" s="12" t="n">
        <x:f>Raw_Orders!F288</x:f>
        <x:v>0.05</x:v>
      </x:c>
      <x:c r="M288" s="14" t="n">
        <x:f>INDEX(Products!$D$2:$D$13,MATCH(G288,Products!$A$2:$A$13,0))</x:f>
        <x:v>310</x:v>
      </x:c>
      <x:c r="N288" s="14" t="n">
        <x:f>INDEX(Products!$E$2:$E$13,MATCH(G288,Products!$A$2:$A$13,0))</x:f>
        <x:v>205</x:v>
      </x:c>
      <x:c r="O288" s="14" t="n">
        <x:f>K288*M288</x:f>
        <x:v>310</x:v>
      </x:c>
      <x:c r="P288" s="14" t="n">
        <x:f>O288*(1-L288)</x:f>
        <x:v>294.5</x:v>
      </x:c>
      <x:c r="Q288" s="14" t="n">
        <x:f>K288*N288</x:f>
        <x:v>205</x:v>
      </x:c>
      <x:c r="R288" s="14" t="n">
        <x:f>P288-Q288</x:f>
        <x:v>89.5</x:v>
      </x:c>
      <x:c r="S288" s="16" t="n">
        <x:f>IFERROR(R288/P288,0)</x:f>
        <x:v>0.30390492359932086</x:v>
      </x:c>
    </x:row>
    <x:row r="289" ht="15" hidden="0" customHeight="1">
      <x:c r="A289" t="str">
        <x:f>Raw_Orders!A289</x:f>
        <x:v>O0288</x:v>
      </x:c>
      <x:c r="B289" s="10" t="n">
        <x:f>Raw_Orders!B289</x:f>
        <x:v>45824</x:v>
      </x:c>
      <x:c r="C289" t="str">
        <x:f>Raw_Orders!C289</x:f>
        <x:v>C022</x:v>
      </x:c>
      <x:c r="D289" t="str">
        <x:f>INDEX(Customers!$B$2:$B$81,MATCH(C289,Customers!$A$2:$A$81,0))</x:f>
        <x:v>Customer 22</x:v>
      </x:c>
      <x:c r="E289" t="str">
        <x:f>INDEX(Customers!$C$2:$C$81,MATCH(C289,Customers!$A$2:$A$81,0))</x:f>
        <x:v>Consumer</x:v>
      </x:c>
      <x:c r="F289" t="str">
        <x:f>INDEX(Customers!$D$2:$D$81,MATCH(C289,Customers!$A$2:$A$81,0))</x:f>
        <x:v>South</x:v>
      </x:c>
      <x:c r="G289" t="str">
        <x:f>Raw_Orders!D289</x:f>
        <x:v>P010</x:v>
      </x:c>
      <x:c r="H289" t="str">
        <x:f>INDEX(Products!$B$2:$B$13,MATCH(G289,Products!$A$2:$A$13,0))</x:f>
        <x:v>Portable SSD</x:v>
      </x:c>
      <x:c r="I289" t="str">
        <x:f>INDEX(Products!$C$2:$C$13,MATCH(G289,Products!$A$2:$A$13,0))</x:f>
        <x:v>Storage</x:v>
      </x:c>
      <x:c r="J289" t="str">
        <x:f>Raw_Orders!G289</x:f>
        <x:v>Retail</x:v>
      </x:c>
      <x:c r="K289" t="n">
        <x:f>Raw_Orders!E289</x:f>
        <x:v>4</x:v>
      </x:c>
      <x:c r="L289" s="12" t="n">
        <x:f>Raw_Orders!F289</x:f>
        <x:v>0.15</x:v>
      </x:c>
      <x:c r="M289" s="14" t="n">
        <x:f>INDEX(Products!$D$2:$D$13,MATCH(G289,Products!$A$2:$A$13,0))</x:f>
        <x:v>145</x:v>
      </x:c>
      <x:c r="N289" s="14" t="n">
        <x:f>INDEX(Products!$E$2:$E$13,MATCH(G289,Products!$A$2:$A$13,0))</x:f>
        <x:v>86</x:v>
      </x:c>
      <x:c r="O289" s="14" t="n">
        <x:f>K289*M289</x:f>
        <x:v>580</x:v>
      </x:c>
      <x:c r="P289" s="14" t="n">
        <x:f>O289*(1-L289)</x:f>
        <x:v>493</x:v>
      </x:c>
      <x:c r="Q289" s="14" t="n">
        <x:f>K289*N289</x:f>
        <x:v>344</x:v>
      </x:c>
      <x:c r="R289" s="14" t="n">
        <x:f>P289-Q289</x:f>
        <x:v>149</x:v>
      </x:c>
      <x:c r="S289" s="16" t="n">
        <x:f>IFERROR(R289/P289,0)</x:f>
        <x:v>0.3022312373225152</x:v>
      </x:c>
    </x:row>
    <x:row r="290" ht="15" hidden="0" customHeight="1">
      <x:c r="A290" t="str">
        <x:f>Raw_Orders!A290</x:f>
        <x:v>O0289</x:v>
      </x:c>
      <x:c r="B290" s="10" t="n">
        <x:f>Raw_Orders!B290</x:f>
        <x:v>45703</x:v>
      </x:c>
      <x:c r="C290" t="str">
        <x:f>Raw_Orders!C290</x:f>
        <x:v>C056</x:v>
      </x:c>
      <x:c r="D290" t="str">
        <x:f>INDEX(Customers!$B$2:$B$81,MATCH(C290,Customers!$A$2:$A$81,0))</x:f>
        <x:v>Customer 56</x:v>
      </x:c>
      <x:c r="E290" t="str">
        <x:f>INDEX(Customers!$C$2:$C$81,MATCH(C290,Customers!$A$2:$A$81,0))</x:f>
        <x:v>Corporate</x:v>
      </x:c>
      <x:c r="F290" t="str">
        <x:f>INDEX(Customers!$D$2:$D$81,MATCH(C290,Customers!$A$2:$A$81,0))</x:f>
        <x:v>West</x:v>
      </x:c>
      <x:c r="G290" t="str">
        <x:f>Raw_Orders!D290</x:f>
        <x:v>P002</x:v>
      </x:c>
      <x:c r="H290" t="str">
        <x:f>INDEX(Products!$B$2:$B$13,MATCH(G290,Products!$A$2:$A$13,0))</x:f>
        <x:v>Mechanical Keyboard</x:v>
      </x:c>
      <x:c r="I290" t="str">
        <x:f>INDEX(Products!$C$2:$C$13,MATCH(G290,Products!$A$2:$A$13,0))</x:f>
        <x:v>Accessories</x:v>
      </x:c>
      <x:c r="J290" t="str">
        <x:f>Raw_Orders!G290</x:f>
        <x:v>Partner</x:v>
      </x:c>
      <x:c r="K290" t="n">
        <x:f>Raw_Orders!E290</x:f>
        <x:v>2</x:v>
      </x:c>
      <x:c r="L290" s="12" t="n">
        <x:f>Raw_Orders!F290</x:f>
        <x:v>0.05</x:v>
      </x:c>
      <x:c r="M290" s="14" t="n">
        <x:f>INDEX(Products!$D$2:$D$13,MATCH(G290,Products!$A$2:$A$13,0))</x:f>
        <x:v>110</x:v>
      </x:c>
      <x:c r="N290" s="14" t="n">
        <x:f>INDEX(Products!$E$2:$E$13,MATCH(G290,Products!$A$2:$A$13,0))</x:f>
        <x:v>58</x:v>
      </x:c>
      <x:c r="O290" s="14" t="n">
        <x:f>K290*M290</x:f>
        <x:v>220</x:v>
      </x:c>
      <x:c r="P290" s="14" t="n">
        <x:f>O290*(1-L290)</x:f>
        <x:v>209</x:v>
      </x:c>
      <x:c r="Q290" s="14" t="n">
        <x:f>K290*N290</x:f>
        <x:v>116</x:v>
      </x:c>
      <x:c r="R290" s="14" t="n">
        <x:f>P290-Q290</x:f>
        <x:v>93</x:v>
      </x:c>
      <x:c r="S290" s="16" t="n">
        <x:f>IFERROR(R290/P290,0)</x:f>
        <x:v>0.4449760765550239</x:v>
      </x:c>
    </x:row>
    <x:row r="291" ht="15" hidden="0" customHeight="1">
      <x:c r="A291" t="str">
        <x:f>Raw_Orders!A291</x:f>
        <x:v>O0290</x:v>
      </x:c>
      <x:c r="B291" s="10" t="n">
        <x:f>Raw_Orders!B291</x:f>
        <x:v>45863</x:v>
      </x:c>
      <x:c r="C291" t="str">
        <x:f>Raw_Orders!C291</x:f>
        <x:v>C068</x:v>
      </x:c>
      <x:c r="D291" t="str">
        <x:f>INDEX(Customers!$B$2:$B$81,MATCH(C291,Customers!$A$2:$A$81,0))</x:f>
        <x:v>Customer 68</x:v>
      </x:c>
      <x:c r="E291" t="str">
        <x:f>INDEX(Customers!$C$2:$C$81,MATCH(C291,Customers!$A$2:$A$81,0))</x:f>
        <x:v>Corporate</x:v>
      </x:c>
      <x:c r="F291" t="str">
        <x:f>INDEX(Customers!$D$2:$D$81,MATCH(C291,Customers!$A$2:$A$81,0))</x:f>
        <x:v>West</x:v>
      </x:c>
      <x:c r="G291" t="str">
        <x:f>Raw_Orders!D291</x:f>
        <x:v>P002</x:v>
      </x:c>
      <x:c r="H291" t="str">
        <x:f>INDEX(Products!$B$2:$B$13,MATCH(G291,Products!$A$2:$A$13,0))</x:f>
        <x:v>Mechanical Keyboard</x:v>
      </x:c>
      <x:c r="I291" t="str">
        <x:f>INDEX(Products!$C$2:$C$13,MATCH(G291,Products!$A$2:$A$13,0))</x:f>
        <x:v>Accessories</x:v>
      </x:c>
      <x:c r="J291" t="str">
        <x:f>Raw_Orders!G291</x:f>
        <x:v>Partner</x:v>
      </x:c>
      <x:c r="K291" t="n">
        <x:f>Raw_Orders!E291</x:f>
        <x:v>4</x:v>
      </x:c>
      <x:c r="L291" s="12" t="n">
        <x:f>Raw_Orders!F291</x:f>
        <x:v>0</x:v>
      </x:c>
      <x:c r="M291" s="14" t="n">
        <x:f>INDEX(Products!$D$2:$D$13,MATCH(G291,Products!$A$2:$A$13,0))</x:f>
        <x:v>110</x:v>
      </x:c>
      <x:c r="N291" s="14" t="n">
        <x:f>INDEX(Products!$E$2:$E$13,MATCH(G291,Products!$A$2:$A$13,0))</x:f>
        <x:v>58</x:v>
      </x:c>
      <x:c r="O291" s="14" t="n">
        <x:f>K291*M291</x:f>
        <x:v>440</x:v>
      </x:c>
      <x:c r="P291" s="14" t="n">
        <x:f>O291*(1-L291)</x:f>
        <x:v>440</x:v>
      </x:c>
      <x:c r="Q291" s="14" t="n">
        <x:f>K291*N291</x:f>
        <x:v>232</x:v>
      </x:c>
      <x:c r="R291" s="14" t="n">
        <x:f>P291-Q291</x:f>
        <x:v>208</x:v>
      </x:c>
      <x:c r="S291" s="16" t="n">
        <x:f>IFERROR(R291/P291,0)</x:f>
        <x:v>0.4727272727272727</x:v>
      </x:c>
    </x:row>
    <x:row r="292" ht="15" hidden="0" customHeight="1">
      <x:c r="A292" t="str">
        <x:f>Raw_Orders!A292</x:f>
        <x:v>O0291</x:v>
      </x:c>
      <x:c r="B292" s="10" t="n">
        <x:f>Raw_Orders!B292</x:f>
        <x:v>45831</x:v>
      </x:c>
      <x:c r="C292" t="str">
        <x:f>Raw_Orders!C292</x:f>
        <x:v>C029</x:v>
      </x:c>
      <x:c r="D292" t="str">
        <x:f>INDEX(Customers!$B$2:$B$81,MATCH(C292,Customers!$A$2:$A$81,0))</x:f>
        <x:v>Customer 29</x:v>
      </x:c>
      <x:c r="E292" t="str">
        <x:f>INDEX(Customers!$C$2:$C$81,MATCH(C292,Customers!$A$2:$A$81,0))</x:f>
        <x:v>Corporate</x:v>
      </x:c>
      <x:c r="F292" t="str">
        <x:f>INDEX(Customers!$D$2:$D$81,MATCH(C292,Customers!$A$2:$A$81,0))</x:f>
        <x:v>North</x:v>
      </x:c>
      <x:c r="G292" t="str">
        <x:f>Raw_Orders!D292</x:f>
        <x:v>P006</x:v>
      </x:c>
      <x:c r="H292" t="str">
        <x:f>INDEX(Products!$B$2:$B$13,MATCH(G292,Products!$A$2:$A$13,0))</x:f>
        <x:v>Laptop Stand</x:v>
      </x:c>
      <x:c r="I292" t="str">
        <x:f>INDEX(Products!$C$2:$C$13,MATCH(G292,Products!$A$2:$A$13,0))</x:f>
        <x:v>Office</x:v>
      </x:c>
      <x:c r="J292" t="str">
        <x:f>Raw_Orders!G292</x:f>
        <x:v>Partner</x:v>
      </x:c>
      <x:c r="K292" t="n">
        <x:f>Raw_Orders!E292</x:f>
        <x:v>2</x:v>
      </x:c>
      <x:c r="L292" s="12" t="n">
        <x:f>Raw_Orders!F292</x:f>
        <x:v>0</x:v>
      </x:c>
      <x:c r="M292" s="14" t="n">
        <x:f>INDEX(Products!$D$2:$D$13,MATCH(G292,Products!$A$2:$A$13,0))</x:f>
        <x:v>55</x:v>
      </x:c>
      <x:c r="N292" s="14" t="n">
        <x:f>INDEX(Products!$E$2:$E$13,MATCH(G292,Products!$A$2:$A$13,0))</x:f>
        <x:v>24</x:v>
      </x:c>
      <x:c r="O292" s="14" t="n">
        <x:f>K292*M292</x:f>
        <x:v>110</x:v>
      </x:c>
      <x:c r="P292" s="14" t="n">
        <x:f>O292*(1-L292)</x:f>
        <x:v>110</x:v>
      </x:c>
      <x:c r="Q292" s="14" t="n">
        <x:f>K292*N292</x:f>
        <x:v>48</x:v>
      </x:c>
      <x:c r="R292" s="14" t="n">
        <x:f>P292-Q292</x:f>
        <x:v>62</x:v>
      </x:c>
      <x:c r="S292" s="16" t="n">
        <x:f>IFERROR(R292/P292,0)</x:f>
        <x:v>0.5636363636363636</x:v>
      </x:c>
    </x:row>
    <x:row r="293" ht="15" hidden="0" customHeight="1">
      <x:c r="A293" t="str">
        <x:f>Raw_Orders!A293</x:f>
        <x:v>O0292</x:v>
      </x:c>
      <x:c r="B293" s="10" t="n">
        <x:f>Raw_Orders!B293</x:f>
        <x:v>45982</x:v>
      </x:c>
      <x:c r="C293" t="str">
        <x:f>Raw_Orders!C293</x:f>
        <x:v>C015</x:v>
      </x:c>
      <x:c r="D293" t="str">
        <x:f>INDEX(Customers!$B$2:$B$81,MATCH(C293,Customers!$A$2:$A$81,0))</x:f>
        <x:v>Customer 15</x:v>
      </x:c>
      <x:c r="E293" t="str">
        <x:f>INDEX(Customers!$C$2:$C$81,MATCH(C293,Customers!$A$2:$A$81,0))</x:f>
        <x:v>Small Business</x:v>
      </x:c>
      <x:c r="F293" t="str">
        <x:f>INDEX(Customers!$D$2:$D$81,MATCH(C293,Customers!$A$2:$A$81,0))</x:f>
        <x:v>East</x:v>
      </x:c>
      <x:c r="G293" t="str">
        <x:f>Raw_Orders!D293</x:f>
        <x:v>P009</x:v>
      </x:c>
      <x:c r="H293" t="str">
        <x:f>INDEX(Products!$B$2:$B$13,MATCH(G293,Products!$A$2:$A$13,0))</x:f>
        <x:v>Desk Lamp</x:v>
      </x:c>
      <x:c r="I293" t="str">
        <x:f>INDEX(Products!$C$2:$C$13,MATCH(G293,Products!$A$2:$A$13,0))</x:f>
        <x:v>Office</x:v>
      </x:c>
      <x:c r="J293" t="str">
        <x:f>Raw_Orders!G293</x:f>
        <x:v>Retail</x:v>
      </x:c>
      <x:c r="K293" t="n">
        <x:f>Raw_Orders!E293</x:f>
        <x:v>5</x:v>
      </x:c>
      <x:c r="L293" s="12" t="n">
        <x:f>Raw_Orders!F293</x:f>
        <x:v>0</x:v>
      </x:c>
      <x:c r="M293" s="14" t="n">
        <x:f>INDEX(Products!$D$2:$D$13,MATCH(G293,Products!$A$2:$A$13,0))</x:f>
        <x:v>70</x:v>
      </x:c>
      <x:c r="N293" s="14" t="n">
        <x:f>INDEX(Products!$E$2:$E$13,MATCH(G293,Products!$A$2:$A$13,0))</x:f>
        <x:v>29</x:v>
      </x:c>
      <x:c r="O293" s="14" t="n">
        <x:f>K293*M293</x:f>
        <x:v>350</x:v>
      </x:c>
      <x:c r="P293" s="14" t="n">
        <x:f>O293*(1-L293)</x:f>
        <x:v>350</x:v>
      </x:c>
      <x:c r="Q293" s="14" t="n">
        <x:f>K293*N293</x:f>
        <x:v>145</x:v>
      </x:c>
      <x:c r="R293" s="14" t="n">
        <x:f>P293-Q293</x:f>
        <x:v>205</x:v>
      </x:c>
      <x:c r="S293" s="16" t="n">
        <x:f>IFERROR(R293/P293,0)</x:f>
        <x:v>0.5857142857142857</x:v>
      </x:c>
    </x:row>
    <x:row r="294" ht="15" hidden="0" customHeight="1">
      <x:c r="A294" t="str">
        <x:f>Raw_Orders!A294</x:f>
        <x:v>O0293</x:v>
      </x:c>
      <x:c r="B294" s="10" t="n">
        <x:f>Raw_Orders!B294</x:f>
        <x:v>45837</x:v>
      </x:c>
      <x:c r="C294" t="str">
        <x:f>Raw_Orders!C294</x:f>
        <x:v>C019</x:v>
      </x:c>
      <x:c r="D294" t="str">
        <x:f>INDEX(Customers!$B$2:$B$81,MATCH(C294,Customers!$A$2:$A$81,0))</x:f>
        <x:v>Customer 19</x:v>
      </x:c>
      <x:c r="E294" t="str">
        <x:f>INDEX(Customers!$C$2:$C$81,MATCH(C294,Customers!$A$2:$A$81,0))</x:f>
        <x:v>Consumer</x:v>
      </x:c>
      <x:c r="F294" t="str">
        <x:f>INDEX(Customers!$D$2:$D$81,MATCH(C294,Customers!$A$2:$A$81,0))</x:f>
        <x:v>East</x:v>
      </x:c>
      <x:c r="G294" t="str">
        <x:f>Raw_Orders!D294</x:f>
        <x:v>P004</x:v>
      </x:c>
      <x:c r="H294" t="str">
        <x:f>INDEX(Products!$B$2:$B$13,MATCH(G294,Products!$A$2:$A$13,0))</x:f>
        <x:v>24in Monitor</x:v>
      </x:c>
      <x:c r="I294" t="str">
        <x:f>INDEX(Products!$C$2:$C$13,MATCH(G294,Products!$A$2:$A$13,0))</x:f>
        <x:v>Displays</x:v>
      </x:c>
      <x:c r="J294" t="str">
        <x:f>Raw_Orders!G294</x:f>
        <x:v>Retail</x:v>
      </x:c>
      <x:c r="K294" t="n">
        <x:f>Raw_Orders!E294</x:f>
        <x:v>1</x:v>
      </x:c>
      <x:c r="L294" s="12" t="n">
        <x:f>Raw_Orders!F294</x:f>
        <x:v>0</x:v>
      </x:c>
      <x:c r="M294" s="14" t="n">
        <x:f>INDEX(Products!$D$2:$D$13,MATCH(G294,Products!$A$2:$A$13,0))</x:f>
        <x:v>220</x:v>
      </x:c>
      <x:c r="N294" s="14" t="n">
        <x:f>INDEX(Products!$E$2:$E$13,MATCH(G294,Products!$A$2:$A$13,0))</x:f>
        <x:v>142</x:v>
      </x:c>
      <x:c r="O294" s="14" t="n">
        <x:f>K294*M294</x:f>
        <x:v>220</x:v>
      </x:c>
      <x:c r="P294" s="14" t="n">
        <x:f>O294*(1-L294)</x:f>
        <x:v>220</x:v>
      </x:c>
      <x:c r="Q294" s="14" t="n">
        <x:f>K294*N294</x:f>
        <x:v>142</x:v>
      </x:c>
      <x:c r="R294" s="14" t="n">
        <x:f>P294-Q294</x:f>
        <x:v>78</x:v>
      </x:c>
      <x:c r="S294" s="16" t="n">
        <x:f>IFERROR(R294/P294,0)</x:f>
        <x:v>0.35454545454545455</x:v>
      </x:c>
    </x:row>
    <x:row r="295" ht="15" hidden="0" customHeight="1">
      <x:c r="A295" t="str">
        <x:f>Raw_Orders!A295</x:f>
        <x:v>O0294</x:v>
      </x:c>
      <x:c r="B295" s="10" t="n">
        <x:f>Raw_Orders!B295</x:f>
        <x:v>45759</x:v>
      </x:c>
      <x:c r="C295" t="str">
        <x:f>Raw_Orders!C295</x:f>
        <x:v>C023</x:v>
      </x:c>
      <x:c r="D295" t="str">
        <x:f>INDEX(Customers!$B$2:$B$81,MATCH(C295,Customers!$A$2:$A$81,0))</x:f>
        <x:v>Customer 23</x:v>
      </x:c>
      <x:c r="E295" t="str">
        <x:f>INDEX(Customers!$C$2:$C$81,MATCH(C295,Customers!$A$2:$A$81,0))</x:f>
        <x:v>Corporate</x:v>
      </x:c>
      <x:c r="F295" t="str">
        <x:f>INDEX(Customers!$D$2:$D$81,MATCH(C295,Customers!$A$2:$A$81,0))</x:f>
        <x:v>East</x:v>
      </x:c>
      <x:c r="G295" t="str">
        <x:f>Raw_Orders!D295</x:f>
        <x:v>P010</x:v>
      </x:c>
      <x:c r="H295" t="str">
        <x:f>INDEX(Products!$B$2:$B$13,MATCH(G295,Products!$A$2:$A$13,0))</x:f>
        <x:v>Portable SSD</x:v>
      </x:c>
      <x:c r="I295" t="str">
        <x:f>INDEX(Products!$C$2:$C$13,MATCH(G295,Products!$A$2:$A$13,0))</x:f>
        <x:v>Storage</x:v>
      </x:c>
      <x:c r="J295" t="str">
        <x:f>Raw_Orders!G295</x:f>
        <x:v>Online</x:v>
      </x:c>
      <x:c r="K295" t="n">
        <x:f>Raw_Orders!E295</x:f>
        <x:v>2</x:v>
      </x:c>
      <x:c r="L295" s="12" t="n">
        <x:f>Raw_Orders!F295</x:f>
        <x:v>0.15</x:v>
      </x:c>
      <x:c r="M295" s="14" t="n">
        <x:f>INDEX(Products!$D$2:$D$13,MATCH(G295,Products!$A$2:$A$13,0))</x:f>
        <x:v>145</x:v>
      </x:c>
      <x:c r="N295" s="14" t="n">
        <x:f>INDEX(Products!$E$2:$E$13,MATCH(G295,Products!$A$2:$A$13,0))</x:f>
        <x:v>86</x:v>
      </x:c>
      <x:c r="O295" s="14" t="n">
        <x:f>K295*M295</x:f>
        <x:v>290</x:v>
      </x:c>
      <x:c r="P295" s="14" t="n">
        <x:f>O295*(1-L295)</x:f>
        <x:v>246.5</x:v>
      </x:c>
      <x:c r="Q295" s="14" t="n">
        <x:f>K295*N295</x:f>
        <x:v>172</x:v>
      </x:c>
      <x:c r="R295" s="14" t="n">
        <x:f>P295-Q295</x:f>
        <x:v>74.5</x:v>
      </x:c>
      <x:c r="S295" s="16" t="n">
        <x:f>IFERROR(R295/P295,0)</x:f>
        <x:v>0.3022312373225152</x:v>
      </x:c>
    </x:row>
    <x:row r="296" ht="15" hidden="0" customHeight="1">
      <x:c r="A296" t="str">
        <x:f>Raw_Orders!A296</x:f>
        <x:v>O0295</x:v>
      </x:c>
      <x:c r="B296" s="10" t="n">
        <x:f>Raw_Orders!B296</x:f>
        <x:v>45748</x:v>
      </x:c>
      <x:c r="C296" t="str">
        <x:f>Raw_Orders!C296</x:f>
        <x:v>C064</x:v>
      </x:c>
      <x:c r="D296" t="str">
        <x:f>INDEX(Customers!$B$2:$B$81,MATCH(C296,Customers!$A$2:$A$81,0))</x:f>
        <x:v>Customer 64</x:v>
      </x:c>
      <x:c r="E296" t="str">
        <x:f>INDEX(Customers!$C$2:$C$81,MATCH(C296,Customers!$A$2:$A$81,0))</x:f>
        <x:v>Consumer</x:v>
      </x:c>
      <x:c r="F296" t="str">
        <x:f>INDEX(Customers!$D$2:$D$81,MATCH(C296,Customers!$A$2:$A$81,0))</x:f>
        <x:v>West</x:v>
      </x:c>
      <x:c r="G296" t="str">
        <x:f>Raw_Orders!D296</x:f>
        <x:v>P008</x:v>
      </x:c>
      <x:c r="H296" t="str">
        <x:f>INDEX(Products!$B$2:$B$13,MATCH(G296,Products!$A$2:$A$13,0))</x:f>
        <x:v>Webcam</x:v>
      </x:c>
      <x:c r="I296" t="str">
        <x:f>INDEX(Products!$C$2:$C$13,MATCH(G296,Products!$A$2:$A$13,0))</x:f>
        <x:v>Accessories</x:v>
      </x:c>
      <x:c r="J296" t="str">
        <x:f>Raw_Orders!G296</x:f>
        <x:v>Retail</x:v>
      </x:c>
      <x:c r="K296" t="n">
        <x:f>Raw_Orders!E296</x:f>
        <x:v>5</x:v>
      </x:c>
      <x:c r="L296" s="12" t="n">
        <x:f>Raw_Orders!F296</x:f>
        <x:v>0.1</x:v>
      </x:c>
      <x:c r="M296" s="14" t="n">
        <x:f>INDEX(Products!$D$2:$D$13,MATCH(G296,Products!$A$2:$A$13,0))</x:f>
        <x:v>95</x:v>
      </x:c>
      <x:c r="N296" s="14" t="n">
        <x:f>INDEX(Products!$E$2:$E$13,MATCH(G296,Products!$A$2:$A$13,0))</x:f>
        <x:v>49</x:v>
      </x:c>
      <x:c r="O296" s="14" t="n">
        <x:f>K296*M296</x:f>
        <x:v>475</x:v>
      </x:c>
      <x:c r="P296" s="14" t="n">
        <x:f>O296*(1-L296)</x:f>
        <x:v>427.5</x:v>
      </x:c>
      <x:c r="Q296" s="14" t="n">
        <x:f>K296*N296</x:f>
        <x:v>245</x:v>
      </x:c>
      <x:c r="R296" s="14" t="n">
        <x:f>P296-Q296</x:f>
        <x:v>182.5</x:v>
      </x:c>
      <x:c r="S296" s="16" t="n">
        <x:f>IFERROR(R296/P296,0)</x:f>
        <x:v>0.4269005847953216</x:v>
      </x:c>
    </x:row>
    <x:row r="297" ht="15" hidden="0" customHeight="1">
      <x:c r="A297" t="str">
        <x:f>Raw_Orders!A297</x:f>
        <x:v>O0296</x:v>
      </x:c>
      <x:c r="B297" s="10" t="n">
        <x:f>Raw_Orders!B297</x:f>
        <x:v>46006</x:v>
      </x:c>
      <x:c r="C297" t="str">
        <x:f>Raw_Orders!C297</x:f>
        <x:v>C073</x:v>
      </x:c>
      <x:c r="D297" t="str">
        <x:f>INDEX(Customers!$B$2:$B$81,MATCH(C297,Customers!$A$2:$A$81,0))</x:f>
        <x:v>Customer 73</x:v>
      </x:c>
      <x:c r="E297" t="str">
        <x:f>INDEX(Customers!$C$2:$C$81,MATCH(C297,Customers!$A$2:$A$81,0))</x:f>
        <x:v>Consumer</x:v>
      </x:c>
      <x:c r="F297" t="str">
        <x:f>INDEX(Customers!$D$2:$D$81,MATCH(C297,Customers!$A$2:$A$81,0))</x:f>
        <x:v>North</x:v>
      </x:c>
      <x:c r="G297" t="str">
        <x:f>Raw_Orders!D297</x:f>
        <x:v>P011</x:v>
      </x:c>
      <x:c r="H297" t="str">
        <x:f>INDEX(Products!$B$2:$B$13,MATCH(G297,Products!$A$2:$A$13,0))</x:f>
        <x:v>External HDD</x:v>
      </x:c>
      <x:c r="I297" t="str">
        <x:f>INDEX(Products!$C$2:$C$13,MATCH(G297,Products!$A$2:$A$13,0))</x:f>
        <x:v>Storage</x:v>
      </x:c>
      <x:c r="J297" t="str">
        <x:f>Raw_Orders!G297</x:f>
        <x:v>Retail</x:v>
      </x:c>
      <x:c r="K297" t="n">
        <x:f>Raw_Orders!E297</x:f>
        <x:v>6</x:v>
      </x:c>
      <x:c r="L297" s="12" t="n">
        <x:f>Raw_Orders!F297</x:f>
        <x:v>0.1</x:v>
      </x:c>
      <x:c r="M297" s="14" t="n">
        <x:f>INDEX(Products!$D$2:$D$13,MATCH(G297,Products!$A$2:$A$13,0))</x:f>
        <x:v>120</x:v>
      </x:c>
      <x:c r="N297" s="14" t="n">
        <x:f>INDEX(Products!$E$2:$E$13,MATCH(G297,Products!$A$2:$A$13,0))</x:f>
        <x:v>72</x:v>
      </x:c>
      <x:c r="O297" s="14" t="n">
        <x:f>K297*M297</x:f>
        <x:v>720</x:v>
      </x:c>
      <x:c r="P297" s="14" t="n">
        <x:f>O297*(1-L297)</x:f>
        <x:v>648</x:v>
      </x:c>
      <x:c r="Q297" s="14" t="n">
        <x:f>K297*N297</x:f>
        <x:v>432</x:v>
      </x:c>
      <x:c r="R297" s="14" t="n">
        <x:f>P297-Q297</x:f>
        <x:v>216</x:v>
      </x:c>
      <x:c r="S297" s="16" t="n">
        <x:f>IFERROR(R297/P297,0)</x:f>
        <x:v>0.3333333333333333</x:v>
      </x:c>
    </x:row>
    <x:row r="298" ht="15" hidden="0" customHeight="1">
      <x:c r="A298" t="str">
        <x:f>Raw_Orders!A298</x:f>
        <x:v>O0297</x:v>
      </x:c>
      <x:c r="B298" s="10" t="n">
        <x:f>Raw_Orders!B298</x:f>
        <x:v>45979</x:v>
      </x:c>
      <x:c r="C298" t="str">
        <x:f>Raw_Orders!C298</x:f>
        <x:v>C041</x:v>
      </x:c>
      <x:c r="D298" t="str">
        <x:f>INDEX(Customers!$B$2:$B$81,MATCH(C298,Customers!$A$2:$A$81,0))</x:f>
        <x:v>Customer 41</x:v>
      </x:c>
      <x:c r="E298" t="str">
        <x:f>INDEX(Customers!$C$2:$C$81,MATCH(C298,Customers!$A$2:$A$81,0))</x:f>
        <x:v>Corporate</x:v>
      </x:c>
      <x:c r="F298" t="str">
        <x:f>INDEX(Customers!$D$2:$D$81,MATCH(C298,Customers!$A$2:$A$81,0))</x:f>
        <x:v>North</x:v>
      </x:c>
      <x:c r="G298" t="str">
        <x:f>Raw_Orders!D298</x:f>
        <x:v>P003</x:v>
      </x:c>
      <x:c r="H298" t="str">
        <x:f>INDEX(Products!$B$2:$B$13,MATCH(G298,Products!$A$2:$A$13,0))</x:f>
        <x:v>USB-C Hub</x:v>
      </x:c>
      <x:c r="I298" t="str">
        <x:f>INDEX(Products!$C$2:$C$13,MATCH(G298,Products!$A$2:$A$13,0))</x:f>
        <x:v>Accessories</x:v>
      </x:c>
      <x:c r="J298" t="str">
        <x:f>Raw_Orders!G298</x:f>
        <x:v>Retail</x:v>
      </x:c>
      <x:c r="K298" t="n">
        <x:f>Raw_Orders!E298</x:f>
        <x:v>4</x:v>
      </x:c>
      <x:c r="L298" s="12" t="n">
        <x:f>Raw_Orders!F298</x:f>
        <x:v>0</x:v>
      </x:c>
      <x:c r="M298" s="14" t="n">
        <x:f>INDEX(Products!$D$2:$D$13,MATCH(G298,Products!$A$2:$A$13,0))</x:f>
        <x:v>65</x:v>
      </x:c>
      <x:c r="N298" s="14" t="n">
        <x:f>INDEX(Products!$E$2:$E$13,MATCH(G298,Products!$A$2:$A$13,0))</x:f>
        <x:v>31</x:v>
      </x:c>
      <x:c r="O298" s="14" t="n">
        <x:f>K298*M298</x:f>
        <x:v>260</x:v>
      </x:c>
      <x:c r="P298" s="14" t="n">
        <x:f>O298*(1-L298)</x:f>
        <x:v>260</x:v>
      </x:c>
      <x:c r="Q298" s="14" t="n">
        <x:f>K298*N298</x:f>
        <x:v>124</x:v>
      </x:c>
      <x:c r="R298" s="14" t="n">
        <x:f>P298-Q298</x:f>
        <x:v>136</x:v>
      </x:c>
      <x:c r="S298" s="16" t="n">
        <x:f>IFERROR(R298/P298,0)</x:f>
        <x:v>0.5230769230769231</x:v>
      </x:c>
    </x:row>
    <x:row r="299" ht="15" hidden="0" customHeight="1">
      <x:c r="A299" t="str">
        <x:f>Raw_Orders!A299</x:f>
        <x:v>O0298</x:v>
      </x:c>
      <x:c r="B299" s="10" t="n">
        <x:f>Raw_Orders!B299</x:f>
        <x:v>45884</x:v>
      </x:c>
      <x:c r="C299" t="str">
        <x:f>Raw_Orders!C299</x:f>
        <x:v>C039</x:v>
      </x:c>
      <x:c r="D299" t="str">
        <x:f>INDEX(Customers!$B$2:$B$81,MATCH(C299,Customers!$A$2:$A$81,0))</x:f>
        <x:v>Customer 39</x:v>
      </x:c>
      <x:c r="E299" t="str">
        <x:f>INDEX(Customers!$C$2:$C$81,MATCH(C299,Customers!$A$2:$A$81,0))</x:f>
        <x:v>Small Business</x:v>
      </x:c>
      <x:c r="F299" t="str">
        <x:f>INDEX(Customers!$D$2:$D$81,MATCH(C299,Customers!$A$2:$A$81,0))</x:f>
        <x:v>East</x:v>
      </x:c>
      <x:c r="G299" t="str">
        <x:f>Raw_Orders!D299</x:f>
        <x:v>P005</x:v>
      </x:c>
      <x:c r="H299" t="str">
        <x:f>INDEX(Products!$B$2:$B$13,MATCH(G299,Products!$A$2:$A$13,0))</x:f>
        <x:v>27in Monitor</x:v>
      </x:c>
      <x:c r="I299" t="str">
        <x:f>INDEX(Products!$C$2:$C$13,MATCH(G299,Products!$A$2:$A$13,0))</x:f>
        <x:v>Displays</x:v>
      </x:c>
      <x:c r="J299" t="str">
        <x:f>Raw_Orders!G299</x:f>
        <x:v>Retail</x:v>
      </x:c>
      <x:c r="K299" t="n">
        <x:f>Raw_Orders!E299</x:f>
        <x:v>5</x:v>
      </x:c>
      <x:c r="L299" s="12" t="n">
        <x:f>Raw_Orders!F299</x:f>
        <x:v>0</x:v>
      </x:c>
      <x:c r="M299" s="14" t="n">
        <x:f>INDEX(Products!$D$2:$D$13,MATCH(G299,Products!$A$2:$A$13,0))</x:f>
        <x:v>310</x:v>
      </x:c>
      <x:c r="N299" s="14" t="n">
        <x:f>INDEX(Products!$E$2:$E$13,MATCH(G299,Products!$A$2:$A$13,0))</x:f>
        <x:v>205</x:v>
      </x:c>
      <x:c r="O299" s="14" t="n">
        <x:f>K299*M299</x:f>
        <x:v>1550</x:v>
      </x:c>
      <x:c r="P299" s="14" t="n">
        <x:f>O299*(1-L299)</x:f>
        <x:v>1550</x:v>
      </x:c>
      <x:c r="Q299" s="14" t="n">
        <x:f>K299*N299</x:f>
        <x:v>1025</x:v>
      </x:c>
      <x:c r="R299" s="14" t="n">
        <x:f>P299-Q299</x:f>
        <x:v>525</x:v>
      </x:c>
      <x:c r="S299" s="16" t="n">
        <x:f>IFERROR(R299/P299,0)</x:f>
        <x:v>0.3387096774193548</x:v>
      </x:c>
    </x:row>
    <x:row r="300" ht="15" hidden="0" customHeight="1">
      <x:c r="A300" t="str">
        <x:f>Raw_Orders!A300</x:f>
        <x:v>O0299</x:v>
      </x:c>
      <x:c r="B300" s="10" t="n">
        <x:f>Raw_Orders!B300</x:f>
        <x:v>45917</x:v>
      </x:c>
      <x:c r="C300" t="str">
        <x:f>Raw_Orders!C300</x:f>
        <x:v>C010</x:v>
      </x:c>
      <x:c r="D300" t="str">
        <x:f>INDEX(Customers!$B$2:$B$81,MATCH(C300,Customers!$A$2:$A$81,0))</x:f>
        <x:v>Customer 10</x:v>
      </x:c>
      <x:c r="E300" t="str">
        <x:f>INDEX(Customers!$C$2:$C$81,MATCH(C300,Customers!$A$2:$A$81,0))</x:f>
        <x:v>Consumer</x:v>
      </x:c>
      <x:c r="F300" t="str">
        <x:f>INDEX(Customers!$D$2:$D$81,MATCH(C300,Customers!$A$2:$A$81,0))</x:f>
        <x:v>South</x:v>
      </x:c>
      <x:c r="G300" t="str">
        <x:f>Raw_Orders!D300</x:f>
        <x:v>P005</x:v>
      </x:c>
      <x:c r="H300" t="str">
        <x:f>INDEX(Products!$B$2:$B$13,MATCH(G300,Products!$A$2:$A$13,0))</x:f>
        <x:v>27in Monitor</x:v>
      </x:c>
      <x:c r="I300" t="str">
        <x:f>INDEX(Products!$C$2:$C$13,MATCH(G300,Products!$A$2:$A$13,0))</x:f>
        <x:v>Displays</x:v>
      </x:c>
      <x:c r="J300" t="str">
        <x:f>Raw_Orders!G300</x:f>
        <x:v>Online</x:v>
      </x:c>
      <x:c r="K300" t="n">
        <x:f>Raw_Orders!E300</x:f>
        <x:v>4</x:v>
      </x:c>
      <x:c r="L300" s="12" t="n">
        <x:f>Raw_Orders!F300</x:f>
        <x:v>0.05</x:v>
      </x:c>
      <x:c r="M300" s="14" t="n">
        <x:f>INDEX(Products!$D$2:$D$13,MATCH(G300,Products!$A$2:$A$13,0))</x:f>
        <x:v>310</x:v>
      </x:c>
      <x:c r="N300" s="14" t="n">
        <x:f>INDEX(Products!$E$2:$E$13,MATCH(G300,Products!$A$2:$A$13,0))</x:f>
        <x:v>205</x:v>
      </x:c>
      <x:c r="O300" s="14" t="n">
        <x:f>K300*M300</x:f>
        <x:v>1240</x:v>
      </x:c>
      <x:c r="P300" s="14" t="n">
        <x:f>O300*(1-L300)</x:f>
        <x:v>1178</x:v>
      </x:c>
      <x:c r="Q300" s="14" t="n">
        <x:f>K300*N300</x:f>
        <x:v>820</x:v>
      </x:c>
      <x:c r="R300" s="14" t="n">
        <x:f>P300-Q300</x:f>
        <x:v>358</x:v>
      </x:c>
      <x:c r="S300" s="16" t="n">
        <x:f>IFERROR(R300/P300,0)</x:f>
        <x:v>0.30390492359932086</x:v>
      </x:c>
    </x:row>
    <x:row r="301" ht="15" hidden="0" customHeight="1">
      <x:c r="A301" t="str">
        <x:f>Raw_Orders!A301</x:f>
        <x:v>O0300</x:v>
      </x:c>
      <x:c r="B301" s="10" t="n">
        <x:f>Raw_Orders!B301</x:f>
        <x:v>45687</x:v>
      </x:c>
      <x:c r="C301" t="str">
        <x:f>Raw_Orders!C301</x:f>
        <x:v>C048</x:v>
      </x:c>
      <x:c r="D301" t="str">
        <x:f>INDEX(Customers!$B$2:$B$81,MATCH(C301,Customers!$A$2:$A$81,0))</x:f>
        <x:v>Customer 48</x:v>
      </x:c>
      <x:c r="E301" t="str">
        <x:f>INDEX(Customers!$C$2:$C$81,MATCH(C301,Customers!$A$2:$A$81,0))</x:f>
        <x:v>Small Business</x:v>
      </x:c>
      <x:c r="F301" t="str">
        <x:f>INDEX(Customers!$D$2:$D$81,MATCH(C301,Customers!$A$2:$A$81,0))</x:f>
        <x:v>West</x:v>
      </x:c>
      <x:c r="G301" t="str">
        <x:f>Raw_Orders!D301</x:f>
        <x:v>P005</x:v>
      </x:c>
      <x:c r="H301" t="str">
        <x:f>INDEX(Products!$B$2:$B$13,MATCH(G301,Products!$A$2:$A$13,0))</x:f>
        <x:v>27in Monitor</x:v>
      </x:c>
      <x:c r="I301" t="str">
        <x:f>INDEX(Products!$C$2:$C$13,MATCH(G301,Products!$A$2:$A$13,0))</x:f>
        <x:v>Displays</x:v>
      </x:c>
      <x:c r="J301" t="str">
        <x:f>Raw_Orders!G301</x:f>
        <x:v>Online</x:v>
      </x:c>
      <x:c r="K301" t="n">
        <x:f>Raw_Orders!E301</x:f>
        <x:v>1</x:v>
      </x:c>
      <x:c r="L301" s="12" t="n">
        <x:f>Raw_Orders!F301</x:f>
        <x:v>0.15</x:v>
      </x:c>
      <x:c r="M301" s="14" t="n">
        <x:f>INDEX(Products!$D$2:$D$13,MATCH(G301,Products!$A$2:$A$13,0))</x:f>
        <x:v>310</x:v>
      </x:c>
      <x:c r="N301" s="14" t="n">
        <x:f>INDEX(Products!$E$2:$E$13,MATCH(G301,Products!$A$2:$A$13,0))</x:f>
        <x:v>205</x:v>
      </x:c>
      <x:c r="O301" s="14" t="n">
        <x:f>K301*M301</x:f>
        <x:v>310</x:v>
      </x:c>
      <x:c r="P301" s="14" t="n">
        <x:f>O301*(1-L301)</x:f>
        <x:v>263.5</x:v>
      </x:c>
      <x:c r="Q301" s="14" t="n">
        <x:f>K301*N301</x:f>
        <x:v>205</x:v>
      </x:c>
      <x:c r="R301" s="14" t="n">
        <x:f>P301-Q301</x:f>
        <x:v>58.5</x:v>
      </x:c>
      <x:c r="S301" s="16" t="n">
        <x:f>IFERROR(R301/P301,0)</x:f>
        <x:v>0.222011385199241</x:v>
      </x:c>
    </x:row>
    <x:row r="302" ht="15" hidden="0" customHeight="1">
      <x:c r="A302" t="str">
        <x:f>Raw_Orders!A302</x:f>
        <x:v>O0301</x:v>
      </x:c>
      <x:c r="B302" s="10" t="n">
        <x:f>Raw_Orders!B302</x:f>
        <x:v>45972</x:v>
      </x:c>
      <x:c r="C302" t="str">
        <x:f>Raw_Orders!C302</x:f>
        <x:v>C077</x:v>
      </x:c>
      <x:c r="D302" t="str">
        <x:f>INDEX(Customers!$B$2:$B$81,MATCH(C302,Customers!$A$2:$A$81,0))</x:f>
        <x:v>Customer 77</x:v>
      </x:c>
      <x:c r="E302" t="str">
        <x:f>INDEX(Customers!$C$2:$C$81,MATCH(C302,Customers!$A$2:$A$81,0))</x:f>
        <x:v>Corporate</x:v>
      </x:c>
      <x:c r="F302" t="str">
        <x:f>INDEX(Customers!$D$2:$D$81,MATCH(C302,Customers!$A$2:$A$81,0))</x:f>
        <x:v>North</x:v>
      </x:c>
      <x:c r="G302" t="str">
        <x:f>Raw_Orders!D302</x:f>
        <x:v>P009</x:v>
      </x:c>
      <x:c r="H302" t="str">
        <x:f>INDEX(Products!$B$2:$B$13,MATCH(G302,Products!$A$2:$A$13,0))</x:f>
        <x:v>Desk Lamp</x:v>
      </x:c>
      <x:c r="I302" t="str">
        <x:f>INDEX(Products!$C$2:$C$13,MATCH(G302,Products!$A$2:$A$13,0))</x:f>
        <x:v>Office</x:v>
      </x:c>
      <x:c r="J302" t="str">
        <x:f>Raw_Orders!G302</x:f>
        <x:v>Partner</x:v>
      </x:c>
      <x:c r="K302" t="n">
        <x:f>Raw_Orders!E302</x:f>
        <x:v>4</x:v>
      </x:c>
      <x:c r="L302" s="12" t="n">
        <x:f>Raw_Orders!F302</x:f>
        <x:v>0.05</x:v>
      </x:c>
      <x:c r="M302" s="14" t="n">
        <x:f>INDEX(Products!$D$2:$D$13,MATCH(G302,Products!$A$2:$A$13,0))</x:f>
        <x:v>70</x:v>
      </x:c>
      <x:c r="N302" s="14" t="n">
        <x:f>INDEX(Products!$E$2:$E$13,MATCH(G302,Products!$A$2:$A$13,0))</x:f>
        <x:v>29</x:v>
      </x:c>
      <x:c r="O302" s="14" t="n">
        <x:f>K302*M302</x:f>
        <x:v>280</x:v>
      </x:c>
      <x:c r="P302" s="14" t="n">
        <x:f>O302*(1-L302)</x:f>
        <x:v>266</x:v>
      </x:c>
      <x:c r="Q302" s="14" t="n">
        <x:f>K302*N302</x:f>
        <x:v>116</x:v>
      </x:c>
      <x:c r="R302" s="14" t="n">
        <x:f>P302-Q302</x:f>
        <x:v>150</x:v>
      </x:c>
      <x:c r="S302" s="16" t="n">
        <x:f>IFERROR(R302/P302,0)</x:f>
        <x:v>0.5639097744360902</x:v>
      </x:c>
    </x:row>
    <x:row r="303" ht="15" hidden="0" customHeight="1">
      <x:c r="A303" t="str">
        <x:f>Raw_Orders!A303</x:f>
        <x:v>O0302</x:v>
      </x:c>
      <x:c r="B303" s="10" t="n">
        <x:f>Raw_Orders!B303</x:f>
        <x:v>45941</x:v>
      </x:c>
      <x:c r="C303" t="str">
        <x:f>Raw_Orders!C303</x:f>
        <x:v>C006</x:v>
      </x:c>
      <x:c r="D303" t="str">
        <x:f>INDEX(Customers!$B$2:$B$81,MATCH(C303,Customers!$A$2:$A$81,0))</x:f>
        <x:v>Customer 06</x:v>
      </x:c>
      <x:c r="E303" t="str">
        <x:f>INDEX(Customers!$C$2:$C$81,MATCH(C303,Customers!$A$2:$A$81,0))</x:f>
        <x:v>Small Business</x:v>
      </x:c>
      <x:c r="F303" t="str">
        <x:f>INDEX(Customers!$D$2:$D$81,MATCH(C303,Customers!$A$2:$A$81,0))</x:f>
        <x:v>South</x:v>
      </x:c>
      <x:c r="G303" t="str">
        <x:f>Raw_Orders!D303</x:f>
        <x:v>P008</x:v>
      </x:c>
      <x:c r="H303" t="str">
        <x:f>INDEX(Products!$B$2:$B$13,MATCH(G303,Products!$A$2:$A$13,0))</x:f>
        <x:v>Webcam</x:v>
      </x:c>
      <x:c r="I303" t="str">
        <x:f>INDEX(Products!$C$2:$C$13,MATCH(G303,Products!$A$2:$A$13,0))</x:f>
        <x:v>Accessories</x:v>
      </x:c>
      <x:c r="J303" t="str">
        <x:f>Raw_Orders!G303</x:f>
        <x:v>Online</x:v>
      </x:c>
      <x:c r="K303" t="n">
        <x:f>Raw_Orders!E303</x:f>
        <x:v>5</x:v>
      </x:c>
      <x:c r="L303" s="12" t="n">
        <x:f>Raw_Orders!F303</x:f>
        <x:v>0.15</x:v>
      </x:c>
      <x:c r="M303" s="14" t="n">
        <x:f>INDEX(Products!$D$2:$D$13,MATCH(G303,Products!$A$2:$A$13,0))</x:f>
        <x:v>95</x:v>
      </x:c>
      <x:c r="N303" s="14" t="n">
        <x:f>INDEX(Products!$E$2:$E$13,MATCH(G303,Products!$A$2:$A$13,0))</x:f>
        <x:v>49</x:v>
      </x:c>
      <x:c r="O303" s="14" t="n">
        <x:f>K303*M303</x:f>
        <x:v>475</x:v>
      </x:c>
      <x:c r="P303" s="14" t="n">
        <x:f>O303*(1-L303)</x:f>
        <x:v>403.75</x:v>
      </x:c>
      <x:c r="Q303" s="14" t="n">
        <x:f>K303*N303</x:f>
        <x:v>245</x:v>
      </x:c>
      <x:c r="R303" s="14" t="n">
        <x:f>P303-Q303</x:f>
        <x:v>158.75</x:v>
      </x:c>
      <x:c r="S303" s="16" t="n">
        <x:f>IFERROR(R303/P303,0)</x:f>
        <x:v>0.3931888544891641</x:v>
      </x:c>
    </x:row>
    <x:row r="304" ht="15" hidden="0" customHeight="1">
      <x:c r="A304" t="str">
        <x:f>Raw_Orders!A304</x:f>
        <x:v>O0303</x:v>
      </x:c>
      <x:c r="B304" s="10" t="n">
        <x:f>Raw_Orders!B304</x:f>
        <x:v>45822</x:v>
      </x:c>
      <x:c r="C304" t="str">
        <x:f>Raw_Orders!C304</x:f>
        <x:v>C078</x:v>
      </x:c>
      <x:c r="D304" t="str">
        <x:f>INDEX(Customers!$B$2:$B$81,MATCH(C304,Customers!$A$2:$A$81,0))</x:f>
        <x:v>Customer 78</x:v>
      </x:c>
      <x:c r="E304" t="str">
        <x:f>INDEX(Customers!$C$2:$C$81,MATCH(C304,Customers!$A$2:$A$81,0))</x:f>
        <x:v>Small Business</x:v>
      </x:c>
      <x:c r="F304" t="str">
        <x:f>INDEX(Customers!$D$2:$D$81,MATCH(C304,Customers!$A$2:$A$81,0))</x:f>
        <x:v>South</x:v>
      </x:c>
      <x:c r="G304" t="str">
        <x:f>Raw_Orders!D304</x:f>
        <x:v>P008</x:v>
      </x:c>
      <x:c r="H304" t="str">
        <x:f>INDEX(Products!$B$2:$B$13,MATCH(G304,Products!$A$2:$A$13,0))</x:f>
        <x:v>Webcam</x:v>
      </x:c>
      <x:c r="I304" t="str">
        <x:f>INDEX(Products!$C$2:$C$13,MATCH(G304,Products!$A$2:$A$13,0))</x:f>
        <x:v>Accessories</x:v>
      </x:c>
      <x:c r="J304" t="str">
        <x:f>Raw_Orders!G304</x:f>
        <x:v>Online</x:v>
      </x:c>
      <x:c r="K304" t="n">
        <x:f>Raw_Orders!E304</x:f>
        <x:v>5</x:v>
      </x:c>
      <x:c r="L304" s="12" t="n">
        <x:f>Raw_Orders!F304</x:f>
        <x:v>0</x:v>
      </x:c>
      <x:c r="M304" s="14" t="n">
        <x:f>INDEX(Products!$D$2:$D$13,MATCH(G304,Products!$A$2:$A$13,0))</x:f>
        <x:v>95</x:v>
      </x:c>
      <x:c r="N304" s="14" t="n">
        <x:f>INDEX(Products!$E$2:$E$13,MATCH(G304,Products!$A$2:$A$13,0))</x:f>
        <x:v>49</x:v>
      </x:c>
      <x:c r="O304" s="14" t="n">
        <x:f>K304*M304</x:f>
        <x:v>475</x:v>
      </x:c>
      <x:c r="P304" s="14" t="n">
        <x:f>O304*(1-L304)</x:f>
        <x:v>475</x:v>
      </x:c>
      <x:c r="Q304" s="14" t="n">
        <x:f>K304*N304</x:f>
        <x:v>245</x:v>
      </x:c>
      <x:c r="R304" s="14" t="n">
        <x:f>P304-Q304</x:f>
        <x:v>230</x:v>
      </x:c>
      <x:c r="S304" s="16" t="n">
        <x:f>IFERROR(R304/P304,0)</x:f>
        <x:v>0.4842105263157895</x:v>
      </x:c>
    </x:row>
    <x:row r="305" ht="15" hidden="0" customHeight="1">
      <x:c r="A305" t="str">
        <x:f>Raw_Orders!A305</x:f>
        <x:v>O0304</x:v>
      </x:c>
      <x:c r="B305" s="10" t="n">
        <x:f>Raw_Orders!B305</x:f>
        <x:v>45888</x:v>
      </x:c>
      <x:c r="C305" t="str">
        <x:f>Raw_Orders!C305</x:f>
        <x:v>C014</x:v>
      </x:c>
      <x:c r="D305" t="str">
        <x:f>INDEX(Customers!$B$2:$B$81,MATCH(C305,Customers!$A$2:$A$81,0))</x:f>
        <x:v>Customer 14</x:v>
      </x:c>
      <x:c r="E305" t="str">
        <x:f>INDEX(Customers!$C$2:$C$81,MATCH(C305,Customers!$A$2:$A$81,0))</x:f>
        <x:v>Corporate</x:v>
      </x:c>
      <x:c r="F305" t="str">
        <x:f>INDEX(Customers!$D$2:$D$81,MATCH(C305,Customers!$A$2:$A$81,0))</x:f>
        <x:v>South</x:v>
      </x:c>
      <x:c r="G305" t="str">
        <x:f>Raw_Orders!D305</x:f>
        <x:v>P006</x:v>
      </x:c>
      <x:c r="H305" t="str">
        <x:f>INDEX(Products!$B$2:$B$13,MATCH(G305,Products!$A$2:$A$13,0))</x:f>
        <x:v>Laptop Stand</x:v>
      </x:c>
      <x:c r="I305" t="str">
        <x:f>INDEX(Products!$C$2:$C$13,MATCH(G305,Products!$A$2:$A$13,0))</x:f>
        <x:v>Office</x:v>
      </x:c>
      <x:c r="J305" t="str">
        <x:f>Raw_Orders!G305</x:f>
        <x:v>Partner</x:v>
      </x:c>
      <x:c r="K305" t="n">
        <x:f>Raw_Orders!E305</x:f>
        <x:v>6</x:v>
      </x:c>
      <x:c r="L305" s="12" t="n">
        <x:f>Raw_Orders!F305</x:f>
        <x:v>0</x:v>
      </x:c>
      <x:c r="M305" s="14" t="n">
        <x:f>INDEX(Products!$D$2:$D$13,MATCH(G305,Products!$A$2:$A$13,0))</x:f>
        <x:v>55</x:v>
      </x:c>
      <x:c r="N305" s="14" t="n">
        <x:f>INDEX(Products!$E$2:$E$13,MATCH(G305,Products!$A$2:$A$13,0))</x:f>
        <x:v>24</x:v>
      </x:c>
      <x:c r="O305" s="14" t="n">
        <x:f>K305*M305</x:f>
        <x:v>330</x:v>
      </x:c>
      <x:c r="P305" s="14" t="n">
        <x:f>O305*(1-L305)</x:f>
        <x:v>330</x:v>
      </x:c>
      <x:c r="Q305" s="14" t="n">
        <x:f>K305*N305</x:f>
        <x:v>144</x:v>
      </x:c>
      <x:c r="R305" s="14" t="n">
        <x:f>P305-Q305</x:f>
        <x:v>186</x:v>
      </x:c>
      <x:c r="S305" s="16" t="n">
        <x:f>IFERROR(R305/P305,0)</x:f>
        <x:v>0.5636363636363636</x:v>
      </x:c>
    </x:row>
    <x:row r="306" ht="15" hidden="0" customHeight="1">
      <x:c r="A306" t="str">
        <x:f>Raw_Orders!A306</x:f>
        <x:v>O0305</x:v>
      </x:c>
      <x:c r="B306" s="10" t="n">
        <x:f>Raw_Orders!B306</x:f>
        <x:v>45988</x:v>
      </x:c>
      <x:c r="C306" t="str">
        <x:f>Raw_Orders!C306</x:f>
        <x:v>C023</x:v>
      </x:c>
      <x:c r="D306" t="str">
        <x:f>INDEX(Customers!$B$2:$B$81,MATCH(C306,Customers!$A$2:$A$81,0))</x:f>
        <x:v>Customer 23</x:v>
      </x:c>
      <x:c r="E306" t="str">
        <x:f>INDEX(Customers!$C$2:$C$81,MATCH(C306,Customers!$A$2:$A$81,0))</x:f>
        <x:v>Corporate</x:v>
      </x:c>
      <x:c r="F306" t="str">
        <x:f>INDEX(Customers!$D$2:$D$81,MATCH(C306,Customers!$A$2:$A$81,0))</x:f>
        <x:v>East</x:v>
      </x:c>
      <x:c r="G306" t="str">
        <x:f>Raw_Orders!D306</x:f>
        <x:v>P001</x:v>
      </x:c>
      <x:c r="H306" t="str">
        <x:f>INDEX(Products!$B$2:$B$13,MATCH(G306,Products!$A$2:$A$13,0))</x:f>
        <x:v>Wireless Headset</x:v>
      </x:c>
      <x:c r="I306" t="str">
        <x:f>INDEX(Products!$C$2:$C$13,MATCH(G306,Products!$A$2:$A$13,0))</x:f>
        <x:v>Accessories</x:v>
      </x:c>
      <x:c r="J306" t="str">
        <x:f>Raw_Orders!G306</x:f>
        <x:v>Retail</x:v>
      </x:c>
      <x:c r="K306" t="n">
        <x:f>Raw_Orders!E306</x:f>
        <x:v>2</x:v>
      </x:c>
      <x:c r="L306" s="12" t="n">
        <x:f>Raw_Orders!F306</x:f>
        <x:v>0.15</x:v>
      </x:c>
      <x:c r="M306" s="14" t="n">
        <x:f>INDEX(Products!$D$2:$D$13,MATCH(G306,Products!$A$2:$A$13,0))</x:f>
        <x:v>85</x:v>
      </x:c>
      <x:c r="N306" s="14" t="n">
        <x:f>INDEX(Products!$E$2:$E$13,MATCH(G306,Products!$A$2:$A$13,0))</x:f>
        <x:v>42</x:v>
      </x:c>
      <x:c r="O306" s="14" t="n">
        <x:f>K306*M306</x:f>
        <x:v>170</x:v>
      </x:c>
      <x:c r="P306" s="14" t="n">
        <x:f>O306*(1-L306)</x:f>
        <x:v>144.5</x:v>
      </x:c>
      <x:c r="Q306" s="14" t="n">
        <x:f>K306*N306</x:f>
        <x:v>84</x:v>
      </x:c>
      <x:c r="R306" s="14" t="n">
        <x:f>P306-Q306</x:f>
        <x:v>60.5</x:v>
      </x:c>
      <x:c r="S306" s="16" t="n">
        <x:f>IFERROR(R306/P306,0)</x:f>
        <x:v>0.4186851211072664</x:v>
      </x:c>
    </x:row>
    <x:row r="307" ht="15" hidden="0" customHeight="1">
      <x:c r="A307" t="str">
        <x:f>Raw_Orders!A307</x:f>
        <x:v>O0306</x:v>
      </x:c>
      <x:c r="B307" s="10" t="n">
        <x:f>Raw_Orders!B307</x:f>
        <x:v>45882</x:v>
      </x:c>
      <x:c r="C307" t="str">
        <x:f>Raw_Orders!C307</x:f>
        <x:v>C068</x:v>
      </x:c>
      <x:c r="D307" t="str">
        <x:f>INDEX(Customers!$B$2:$B$81,MATCH(C307,Customers!$A$2:$A$81,0))</x:f>
        <x:v>Customer 68</x:v>
      </x:c>
      <x:c r="E307" t="str">
        <x:f>INDEX(Customers!$C$2:$C$81,MATCH(C307,Customers!$A$2:$A$81,0))</x:f>
        <x:v>Corporate</x:v>
      </x:c>
      <x:c r="F307" t="str">
        <x:f>INDEX(Customers!$D$2:$D$81,MATCH(C307,Customers!$A$2:$A$81,0))</x:f>
        <x:v>West</x:v>
      </x:c>
      <x:c r="G307" t="str">
        <x:f>Raw_Orders!D307</x:f>
        <x:v>P009</x:v>
      </x:c>
      <x:c r="H307" t="str">
        <x:f>INDEX(Products!$B$2:$B$13,MATCH(G307,Products!$A$2:$A$13,0))</x:f>
        <x:v>Desk Lamp</x:v>
      </x:c>
      <x:c r="I307" t="str">
        <x:f>INDEX(Products!$C$2:$C$13,MATCH(G307,Products!$A$2:$A$13,0))</x:f>
        <x:v>Office</x:v>
      </x:c>
      <x:c r="J307" t="str">
        <x:f>Raw_Orders!G307</x:f>
        <x:v>Retail</x:v>
      </x:c>
      <x:c r="K307" t="n">
        <x:f>Raw_Orders!E307</x:f>
        <x:v>5</x:v>
      </x:c>
      <x:c r="L307" s="12" t="n">
        <x:f>Raw_Orders!F307</x:f>
        <x:v>0</x:v>
      </x:c>
      <x:c r="M307" s="14" t="n">
        <x:f>INDEX(Products!$D$2:$D$13,MATCH(G307,Products!$A$2:$A$13,0))</x:f>
        <x:v>70</x:v>
      </x:c>
      <x:c r="N307" s="14" t="n">
        <x:f>INDEX(Products!$E$2:$E$13,MATCH(G307,Products!$A$2:$A$13,0))</x:f>
        <x:v>29</x:v>
      </x:c>
      <x:c r="O307" s="14" t="n">
        <x:f>K307*M307</x:f>
        <x:v>350</x:v>
      </x:c>
      <x:c r="P307" s="14" t="n">
        <x:f>O307*(1-L307)</x:f>
        <x:v>350</x:v>
      </x:c>
      <x:c r="Q307" s="14" t="n">
        <x:f>K307*N307</x:f>
        <x:v>145</x:v>
      </x:c>
      <x:c r="R307" s="14" t="n">
        <x:f>P307-Q307</x:f>
        <x:v>205</x:v>
      </x:c>
      <x:c r="S307" s="16" t="n">
        <x:f>IFERROR(R307/P307,0)</x:f>
        <x:v>0.5857142857142857</x:v>
      </x:c>
    </x:row>
    <x:row r="308" ht="15" hidden="0" customHeight="1">
      <x:c r="A308" t="str">
        <x:f>Raw_Orders!A308</x:f>
        <x:v>O0307</x:v>
      </x:c>
      <x:c r="B308" s="10" t="n">
        <x:f>Raw_Orders!B308</x:f>
        <x:v>45848</x:v>
      </x:c>
      <x:c r="C308" t="str">
        <x:f>Raw_Orders!C308</x:f>
        <x:v>C037</x:v>
      </x:c>
      <x:c r="D308" t="str">
        <x:f>INDEX(Customers!$B$2:$B$81,MATCH(C308,Customers!$A$2:$A$81,0))</x:f>
        <x:v>Customer 37</x:v>
      </x:c>
      <x:c r="E308" t="str">
        <x:f>INDEX(Customers!$C$2:$C$81,MATCH(C308,Customers!$A$2:$A$81,0))</x:f>
        <x:v>Consumer</x:v>
      </x:c>
      <x:c r="F308" t="str">
        <x:f>INDEX(Customers!$D$2:$D$81,MATCH(C308,Customers!$A$2:$A$81,0))</x:f>
        <x:v>North</x:v>
      </x:c>
      <x:c r="G308" t="str">
        <x:f>Raw_Orders!D308</x:f>
        <x:v>P007</x:v>
      </x:c>
      <x:c r="H308" t="str">
        <x:f>INDEX(Products!$B$2:$B$13,MATCH(G308,Products!$A$2:$A$13,0))</x:f>
        <x:v>Ergonomic Chair</x:v>
      </x:c>
      <x:c r="I308" t="str">
        <x:f>INDEX(Products!$C$2:$C$13,MATCH(G308,Products!$A$2:$A$13,0))</x:f>
        <x:v>Office</x:v>
      </x:c>
      <x:c r="J308" t="str">
        <x:f>Raw_Orders!G308</x:f>
        <x:v>Partner</x:v>
      </x:c>
      <x:c r="K308" t="n">
        <x:f>Raw_Orders!E308</x:f>
        <x:v>4</x:v>
      </x:c>
      <x:c r="L308" s="12" t="n">
        <x:f>Raw_Orders!F308</x:f>
        <x:v>0</x:v>
      </x:c>
      <x:c r="M308" s="14" t="n">
        <x:f>INDEX(Products!$D$2:$D$13,MATCH(G308,Products!$A$2:$A$13,0))</x:f>
        <x:v>390</x:v>
      </x:c>
      <x:c r="N308" s="14" t="n">
        <x:f>INDEX(Products!$E$2:$E$13,MATCH(G308,Products!$A$2:$A$13,0))</x:f>
        <x:v>245</x:v>
      </x:c>
      <x:c r="O308" s="14" t="n">
        <x:f>K308*M308</x:f>
        <x:v>1560</x:v>
      </x:c>
      <x:c r="P308" s="14" t="n">
        <x:f>O308*(1-L308)</x:f>
        <x:v>1560</x:v>
      </x:c>
      <x:c r="Q308" s="14" t="n">
        <x:f>K308*N308</x:f>
        <x:v>980</x:v>
      </x:c>
      <x:c r="R308" s="14" t="n">
        <x:f>P308-Q308</x:f>
        <x:v>580</x:v>
      </x:c>
      <x:c r="S308" s="16" t="n">
        <x:f>IFERROR(R308/P308,0)</x:f>
        <x:v>0.3717948717948718</x:v>
      </x:c>
    </x:row>
    <x:row r="309" ht="15" hidden="0" customHeight="1">
      <x:c r="A309" t="str">
        <x:f>Raw_Orders!A309</x:f>
        <x:v>O0308</x:v>
      </x:c>
      <x:c r="B309" s="10" t="n">
        <x:f>Raw_Orders!B309</x:f>
        <x:v>45964</x:v>
      </x:c>
      <x:c r="C309" t="str">
        <x:f>Raw_Orders!C309</x:f>
        <x:v>C007</x:v>
      </x:c>
      <x:c r="D309" t="str">
        <x:f>INDEX(Customers!$B$2:$B$81,MATCH(C309,Customers!$A$2:$A$81,0))</x:f>
        <x:v>Customer 07</x:v>
      </x:c>
      <x:c r="E309" t="str">
        <x:f>INDEX(Customers!$C$2:$C$81,MATCH(C309,Customers!$A$2:$A$81,0))</x:f>
        <x:v>Consumer</x:v>
      </x:c>
      <x:c r="F309" t="str">
        <x:f>INDEX(Customers!$D$2:$D$81,MATCH(C309,Customers!$A$2:$A$81,0))</x:f>
        <x:v>East</x:v>
      </x:c>
      <x:c r="G309" t="str">
        <x:f>Raw_Orders!D309</x:f>
        <x:v>P011</x:v>
      </x:c>
      <x:c r="H309" t="str">
        <x:f>INDEX(Products!$B$2:$B$13,MATCH(G309,Products!$A$2:$A$13,0))</x:f>
        <x:v>External HDD</x:v>
      </x:c>
      <x:c r="I309" t="str">
        <x:f>INDEX(Products!$C$2:$C$13,MATCH(G309,Products!$A$2:$A$13,0))</x:f>
        <x:v>Storage</x:v>
      </x:c>
      <x:c r="J309" t="str">
        <x:f>Raw_Orders!G309</x:f>
        <x:v>Online</x:v>
      </x:c>
      <x:c r="K309" t="n">
        <x:f>Raw_Orders!E309</x:f>
        <x:v>6</x:v>
      </x:c>
      <x:c r="L309" s="12" t="n">
        <x:f>Raw_Orders!F309</x:f>
        <x:v>0</x:v>
      </x:c>
      <x:c r="M309" s="14" t="n">
        <x:f>INDEX(Products!$D$2:$D$13,MATCH(G309,Products!$A$2:$A$13,0))</x:f>
        <x:v>120</x:v>
      </x:c>
      <x:c r="N309" s="14" t="n">
        <x:f>INDEX(Products!$E$2:$E$13,MATCH(G309,Products!$A$2:$A$13,0))</x:f>
        <x:v>72</x:v>
      </x:c>
      <x:c r="O309" s="14" t="n">
        <x:f>K309*M309</x:f>
        <x:v>720</x:v>
      </x:c>
      <x:c r="P309" s="14" t="n">
        <x:f>O309*(1-L309)</x:f>
        <x:v>720</x:v>
      </x:c>
      <x:c r="Q309" s="14" t="n">
        <x:f>K309*N309</x:f>
        <x:v>432</x:v>
      </x:c>
      <x:c r="R309" s="14" t="n">
        <x:f>P309-Q309</x:f>
        <x:v>288</x:v>
      </x:c>
      <x:c r="S309" s="16" t="n">
        <x:f>IFERROR(R309/P309,0)</x:f>
        <x:v>0.4</x:v>
      </x:c>
    </x:row>
    <x:row r="310" ht="15" hidden="0" customHeight="1">
      <x:c r="A310" t="str">
        <x:f>Raw_Orders!A310</x:f>
        <x:v>O0309</x:v>
      </x:c>
      <x:c r="B310" s="10" t="n">
        <x:f>Raw_Orders!B310</x:f>
        <x:v>45826</x:v>
      </x:c>
      <x:c r="C310" t="str">
        <x:f>Raw_Orders!C310</x:f>
        <x:v>C013</x:v>
      </x:c>
      <x:c r="D310" t="str">
        <x:f>INDEX(Customers!$B$2:$B$81,MATCH(C310,Customers!$A$2:$A$81,0))</x:f>
        <x:v>Customer 13</x:v>
      </x:c>
      <x:c r="E310" t="str">
        <x:f>INDEX(Customers!$C$2:$C$81,MATCH(C310,Customers!$A$2:$A$81,0))</x:f>
        <x:v>Consumer</x:v>
      </x:c>
      <x:c r="F310" t="str">
        <x:f>INDEX(Customers!$D$2:$D$81,MATCH(C310,Customers!$A$2:$A$81,0))</x:f>
        <x:v>North</x:v>
      </x:c>
      <x:c r="G310" t="str">
        <x:f>Raw_Orders!D310</x:f>
        <x:v>P009</x:v>
      </x:c>
      <x:c r="H310" t="str">
        <x:f>INDEX(Products!$B$2:$B$13,MATCH(G310,Products!$A$2:$A$13,0))</x:f>
        <x:v>Desk Lamp</x:v>
      </x:c>
      <x:c r="I310" t="str">
        <x:f>INDEX(Products!$C$2:$C$13,MATCH(G310,Products!$A$2:$A$13,0))</x:f>
        <x:v>Office</x:v>
      </x:c>
      <x:c r="J310" t="str">
        <x:f>Raw_Orders!G310</x:f>
        <x:v>Retail</x:v>
      </x:c>
      <x:c r="K310" t="n">
        <x:f>Raw_Orders!E310</x:f>
        <x:v>6</x:v>
      </x:c>
      <x:c r="L310" s="12" t="n">
        <x:f>Raw_Orders!F310</x:f>
        <x:v>0.05</x:v>
      </x:c>
      <x:c r="M310" s="14" t="n">
        <x:f>INDEX(Products!$D$2:$D$13,MATCH(G310,Products!$A$2:$A$13,0))</x:f>
        <x:v>70</x:v>
      </x:c>
      <x:c r="N310" s="14" t="n">
        <x:f>INDEX(Products!$E$2:$E$13,MATCH(G310,Products!$A$2:$A$13,0))</x:f>
        <x:v>29</x:v>
      </x:c>
      <x:c r="O310" s="14" t="n">
        <x:f>K310*M310</x:f>
        <x:v>420</x:v>
      </x:c>
      <x:c r="P310" s="14" t="n">
        <x:f>O310*(1-L310)</x:f>
        <x:v>399</x:v>
      </x:c>
      <x:c r="Q310" s="14" t="n">
        <x:f>K310*N310</x:f>
        <x:v>174</x:v>
      </x:c>
      <x:c r="R310" s="14" t="n">
        <x:f>P310-Q310</x:f>
        <x:v>225</x:v>
      </x:c>
      <x:c r="S310" s="16" t="n">
        <x:f>IFERROR(R310/P310,0)</x:f>
        <x:v>0.5639097744360902</x:v>
      </x:c>
    </x:row>
    <x:row r="311" ht="15" hidden="0" customHeight="1">
      <x:c r="A311" t="str">
        <x:f>Raw_Orders!A311</x:f>
        <x:v>O0310</x:v>
      </x:c>
      <x:c r="B311" s="10" t="n">
        <x:f>Raw_Orders!B311</x:f>
        <x:v>45787</x:v>
      </x:c>
      <x:c r="C311" t="str">
        <x:f>Raw_Orders!C311</x:f>
        <x:v>C078</x:v>
      </x:c>
      <x:c r="D311" t="str">
        <x:f>INDEX(Customers!$B$2:$B$81,MATCH(C311,Customers!$A$2:$A$81,0))</x:f>
        <x:v>Customer 78</x:v>
      </x:c>
      <x:c r="E311" t="str">
        <x:f>INDEX(Customers!$C$2:$C$81,MATCH(C311,Customers!$A$2:$A$81,0))</x:f>
        <x:v>Small Business</x:v>
      </x:c>
      <x:c r="F311" t="str">
        <x:f>INDEX(Customers!$D$2:$D$81,MATCH(C311,Customers!$A$2:$A$81,0))</x:f>
        <x:v>South</x:v>
      </x:c>
      <x:c r="G311" t="str">
        <x:f>Raw_Orders!D311</x:f>
        <x:v>P003</x:v>
      </x:c>
      <x:c r="H311" t="str">
        <x:f>INDEX(Products!$B$2:$B$13,MATCH(G311,Products!$A$2:$A$13,0))</x:f>
        <x:v>USB-C Hub</x:v>
      </x:c>
      <x:c r="I311" t="str">
        <x:f>INDEX(Products!$C$2:$C$13,MATCH(G311,Products!$A$2:$A$13,0))</x:f>
        <x:v>Accessories</x:v>
      </x:c>
      <x:c r="J311" t="str">
        <x:f>Raw_Orders!G311</x:f>
        <x:v>Partner</x:v>
      </x:c>
      <x:c r="K311" t="n">
        <x:f>Raw_Orders!E311</x:f>
        <x:v>3</x:v>
      </x:c>
      <x:c r="L311" s="12" t="n">
        <x:f>Raw_Orders!F311</x:f>
        <x:v>0</x:v>
      </x:c>
      <x:c r="M311" s="14" t="n">
        <x:f>INDEX(Products!$D$2:$D$13,MATCH(G311,Products!$A$2:$A$13,0))</x:f>
        <x:v>65</x:v>
      </x:c>
      <x:c r="N311" s="14" t="n">
        <x:f>INDEX(Products!$E$2:$E$13,MATCH(G311,Products!$A$2:$A$13,0))</x:f>
        <x:v>31</x:v>
      </x:c>
      <x:c r="O311" s="14" t="n">
        <x:f>K311*M311</x:f>
        <x:v>195</x:v>
      </x:c>
      <x:c r="P311" s="14" t="n">
        <x:f>O311*(1-L311)</x:f>
        <x:v>195</x:v>
      </x:c>
      <x:c r="Q311" s="14" t="n">
        <x:f>K311*N311</x:f>
        <x:v>93</x:v>
      </x:c>
      <x:c r="R311" s="14" t="n">
        <x:f>P311-Q311</x:f>
        <x:v>102</x:v>
      </x:c>
      <x:c r="S311" s="16" t="n">
        <x:f>IFERROR(R311/P311,0)</x:f>
        <x:v>0.5230769230769231</x:v>
      </x:c>
    </x:row>
    <x:row r="312" ht="15" hidden="0" customHeight="1">
      <x:c r="A312" t="str">
        <x:f>Raw_Orders!A312</x:f>
        <x:v>O0311</x:v>
      </x:c>
      <x:c r="B312" s="10" t="n">
        <x:f>Raw_Orders!B312</x:f>
        <x:v>45997</x:v>
      </x:c>
      <x:c r="C312" t="str">
        <x:f>Raw_Orders!C312</x:f>
        <x:v>C019</x:v>
      </x:c>
      <x:c r="D312" t="str">
        <x:f>INDEX(Customers!$B$2:$B$81,MATCH(C312,Customers!$A$2:$A$81,0))</x:f>
        <x:v>Customer 19</x:v>
      </x:c>
      <x:c r="E312" t="str">
        <x:f>INDEX(Customers!$C$2:$C$81,MATCH(C312,Customers!$A$2:$A$81,0))</x:f>
        <x:v>Consumer</x:v>
      </x:c>
      <x:c r="F312" t="str">
        <x:f>INDEX(Customers!$D$2:$D$81,MATCH(C312,Customers!$A$2:$A$81,0))</x:f>
        <x:v>East</x:v>
      </x:c>
      <x:c r="G312" t="str">
        <x:f>Raw_Orders!D312</x:f>
        <x:v>P006</x:v>
      </x:c>
      <x:c r="H312" t="str">
        <x:f>INDEX(Products!$B$2:$B$13,MATCH(G312,Products!$A$2:$A$13,0))</x:f>
        <x:v>Laptop Stand</x:v>
      </x:c>
      <x:c r="I312" t="str">
        <x:f>INDEX(Products!$C$2:$C$13,MATCH(G312,Products!$A$2:$A$13,0))</x:f>
        <x:v>Office</x:v>
      </x:c>
      <x:c r="J312" t="str">
        <x:f>Raw_Orders!G312</x:f>
        <x:v>Partner</x:v>
      </x:c>
      <x:c r="K312" t="n">
        <x:f>Raw_Orders!E312</x:f>
        <x:v>3</x:v>
      </x:c>
      <x:c r="L312" s="12" t="n">
        <x:f>Raw_Orders!F312</x:f>
        <x:v>0.15</x:v>
      </x:c>
      <x:c r="M312" s="14" t="n">
        <x:f>INDEX(Products!$D$2:$D$13,MATCH(G312,Products!$A$2:$A$13,0))</x:f>
        <x:v>55</x:v>
      </x:c>
      <x:c r="N312" s="14" t="n">
        <x:f>INDEX(Products!$E$2:$E$13,MATCH(G312,Products!$A$2:$A$13,0))</x:f>
        <x:v>24</x:v>
      </x:c>
      <x:c r="O312" s="14" t="n">
        <x:f>K312*M312</x:f>
        <x:v>165</x:v>
      </x:c>
      <x:c r="P312" s="14" t="n">
        <x:f>O312*(1-L312)</x:f>
        <x:v>140.25</x:v>
      </x:c>
      <x:c r="Q312" s="14" t="n">
        <x:f>K312*N312</x:f>
        <x:v>72</x:v>
      </x:c>
      <x:c r="R312" s="14" t="n">
        <x:f>P312-Q312</x:f>
        <x:v>68.25</x:v>
      </x:c>
      <x:c r="S312" s="16" t="n">
        <x:f>IFERROR(R312/P312,0)</x:f>
        <x:v>0.48663101604278075</x:v>
      </x:c>
    </x:row>
    <x:row r="313" ht="15" hidden="0" customHeight="1">
      <x:c r="A313" t="str">
        <x:f>Raw_Orders!A313</x:f>
        <x:v>O0312</x:v>
      </x:c>
      <x:c r="B313" s="10" t="n">
        <x:f>Raw_Orders!B313</x:f>
        <x:v>45997</x:v>
      </x:c>
      <x:c r="C313" t="str">
        <x:f>Raw_Orders!C313</x:f>
        <x:v>C051</x:v>
      </x:c>
      <x:c r="D313" t="str">
        <x:f>INDEX(Customers!$B$2:$B$81,MATCH(C313,Customers!$A$2:$A$81,0))</x:f>
        <x:v>Customer 51</x:v>
      </x:c>
      <x:c r="E313" t="str">
        <x:f>INDEX(Customers!$C$2:$C$81,MATCH(C313,Customers!$A$2:$A$81,0))</x:f>
        <x:v>Small Business</x:v>
      </x:c>
      <x:c r="F313" t="str">
        <x:f>INDEX(Customers!$D$2:$D$81,MATCH(C313,Customers!$A$2:$A$81,0))</x:f>
        <x:v>East</x:v>
      </x:c>
      <x:c r="G313" t="str">
        <x:f>Raw_Orders!D313</x:f>
        <x:v>P003</x:v>
      </x:c>
      <x:c r="H313" t="str">
        <x:f>INDEX(Products!$B$2:$B$13,MATCH(G313,Products!$A$2:$A$13,0))</x:f>
        <x:v>USB-C Hub</x:v>
      </x:c>
      <x:c r="I313" t="str">
        <x:f>INDEX(Products!$C$2:$C$13,MATCH(G313,Products!$A$2:$A$13,0))</x:f>
        <x:v>Accessories</x:v>
      </x:c>
      <x:c r="J313" t="str">
        <x:f>Raw_Orders!G313</x:f>
        <x:v>Online</x:v>
      </x:c>
      <x:c r="K313" t="n">
        <x:f>Raw_Orders!E313</x:f>
        <x:v>5</x:v>
      </x:c>
      <x:c r="L313" s="12" t="n">
        <x:f>Raw_Orders!F313</x:f>
        <x:v>0.15</x:v>
      </x:c>
      <x:c r="M313" s="14" t="n">
        <x:f>INDEX(Products!$D$2:$D$13,MATCH(G313,Products!$A$2:$A$13,0))</x:f>
        <x:v>65</x:v>
      </x:c>
      <x:c r="N313" s="14" t="n">
        <x:f>INDEX(Products!$E$2:$E$13,MATCH(G313,Products!$A$2:$A$13,0))</x:f>
        <x:v>31</x:v>
      </x:c>
      <x:c r="O313" s="14" t="n">
        <x:f>K313*M313</x:f>
        <x:v>325</x:v>
      </x:c>
      <x:c r="P313" s="14" t="n">
        <x:f>O313*(1-L313)</x:f>
        <x:v>276.25</x:v>
      </x:c>
      <x:c r="Q313" s="14" t="n">
        <x:f>K313*N313</x:f>
        <x:v>155</x:v>
      </x:c>
      <x:c r="R313" s="14" t="n">
        <x:f>P313-Q313</x:f>
        <x:v>121.25</x:v>
      </x:c>
      <x:c r="S313" s="16" t="n">
        <x:f>IFERROR(R313/P313,0)</x:f>
        <x:v>0.43891402714932126</x:v>
      </x:c>
    </x:row>
    <x:row r="314" ht="15" hidden="0" customHeight="1">
      <x:c r="A314" t="str">
        <x:f>Raw_Orders!A314</x:f>
        <x:v>O0313</x:v>
      </x:c>
      <x:c r="B314" s="10" t="n">
        <x:f>Raw_Orders!B314</x:f>
        <x:v>45816</x:v>
      </x:c>
      <x:c r="C314" t="str">
        <x:f>Raw_Orders!C314</x:f>
        <x:v>C072</x:v>
      </x:c>
      <x:c r="D314" t="str">
        <x:f>INDEX(Customers!$B$2:$B$81,MATCH(C314,Customers!$A$2:$A$81,0))</x:f>
        <x:v>Customer 72</x:v>
      </x:c>
      <x:c r="E314" t="str">
        <x:f>INDEX(Customers!$C$2:$C$81,MATCH(C314,Customers!$A$2:$A$81,0))</x:f>
        <x:v>Small Business</x:v>
      </x:c>
      <x:c r="F314" t="str">
        <x:f>INDEX(Customers!$D$2:$D$81,MATCH(C314,Customers!$A$2:$A$81,0))</x:f>
        <x:v>West</x:v>
      </x:c>
      <x:c r="G314" t="str">
        <x:f>Raw_Orders!D314</x:f>
        <x:v>P007</x:v>
      </x:c>
      <x:c r="H314" t="str">
        <x:f>INDEX(Products!$B$2:$B$13,MATCH(G314,Products!$A$2:$A$13,0))</x:f>
        <x:v>Ergonomic Chair</x:v>
      </x:c>
      <x:c r="I314" t="str">
        <x:f>INDEX(Products!$C$2:$C$13,MATCH(G314,Products!$A$2:$A$13,0))</x:f>
        <x:v>Office</x:v>
      </x:c>
      <x:c r="J314" t="str">
        <x:f>Raw_Orders!G314</x:f>
        <x:v>Online</x:v>
      </x:c>
      <x:c r="K314" t="n">
        <x:f>Raw_Orders!E314</x:f>
        <x:v>6</x:v>
      </x:c>
      <x:c r="L314" s="12" t="n">
        <x:f>Raw_Orders!F314</x:f>
        <x:v>0</x:v>
      </x:c>
      <x:c r="M314" s="14" t="n">
        <x:f>INDEX(Products!$D$2:$D$13,MATCH(G314,Products!$A$2:$A$13,0))</x:f>
        <x:v>390</x:v>
      </x:c>
      <x:c r="N314" s="14" t="n">
        <x:f>INDEX(Products!$E$2:$E$13,MATCH(G314,Products!$A$2:$A$13,0))</x:f>
        <x:v>245</x:v>
      </x:c>
      <x:c r="O314" s="14" t="n">
        <x:f>K314*M314</x:f>
        <x:v>2340</x:v>
      </x:c>
      <x:c r="P314" s="14" t="n">
        <x:f>O314*(1-L314)</x:f>
        <x:v>2340</x:v>
      </x:c>
      <x:c r="Q314" s="14" t="n">
        <x:f>K314*N314</x:f>
        <x:v>1470</x:v>
      </x:c>
      <x:c r="R314" s="14" t="n">
        <x:f>P314-Q314</x:f>
        <x:v>870</x:v>
      </x:c>
      <x:c r="S314" s="16" t="n">
        <x:f>IFERROR(R314/P314,0)</x:f>
        <x:v>0.3717948717948718</x:v>
      </x:c>
    </x:row>
    <x:row r="315" ht="15" hidden="0" customHeight="1">
      <x:c r="A315" t="str">
        <x:f>Raw_Orders!A315</x:f>
        <x:v>O0314</x:v>
      </x:c>
      <x:c r="B315" s="10" t="n">
        <x:f>Raw_Orders!B315</x:f>
        <x:v>46001</x:v>
      </x:c>
      <x:c r="C315" t="str">
        <x:f>Raw_Orders!C315</x:f>
        <x:v>C068</x:v>
      </x:c>
      <x:c r="D315" t="str">
        <x:f>INDEX(Customers!$B$2:$B$81,MATCH(C315,Customers!$A$2:$A$81,0))</x:f>
        <x:v>Customer 68</x:v>
      </x:c>
      <x:c r="E315" t="str">
        <x:f>INDEX(Customers!$C$2:$C$81,MATCH(C315,Customers!$A$2:$A$81,0))</x:f>
        <x:v>Corporate</x:v>
      </x:c>
      <x:c r="F315" t="str">
        <x:f>INDEX(Customers!$D$2:$D$81,MATCH(C315,Customers!$A$2:$A$81,0))</x:f>
        <x:v>West</x:v>
      </x:c>
      <x:c r="G315" t="str">
        <x:f>Raw_Orders!D315</x:f>
        <x:v>P002</x:v>
      </x:c>
      <x:c r="H315" t="str">
        <x:f>INDEX(Products!$B$2:$B$13,MATCH(G315,Products!$A$2:$A$13,0))</x:f>
        <x:v>Mechanical Keyboard</x:v>
      </x:c>
      <x:c r="I315" t="str">
        <x:f>INDEX(Products!$C$2:$C$13,MATCH(G315,Products!$A$2:$A$13,0))</x:f>
        <x:v>Accessories</x:v>
      </x:c>
      <x:c r="J315" t="str">
        <x:f>Raw_Orders!G315</x:f>
        <x:v>Retail</x:v>
      </x:c>
      <x:c r="K315" t="n">
        <x:f>Raw_Orders!E315</x:f>
        <x:v>6</x:v>
      </x:c>
      <x:c r="L315" s="12" t="n">
        <x:f>Raw_Orders!F315</x:f>
        <x:v>0.15</x:v>
      </x:c>
      <x:c r="M315" s="14" t="n">
        <x:f>INDEX(Products!$D$2:$D$13,MATCH(G315,Products!$A$2:$A$13,0))</x:f>
        <x:v>110</x:v>
      </x:c>
      <x:c r="N315" s="14" t="n">
        <x:f>INDEX(Products!$E$2:$E$13,MATCH(G315,Products!$A$2:$A$13,0))</x:f>
        <x:v>58</x:v>
      </x:c>
      <x:c r="O315" s="14" t="n">
        <x:f>K315*M315</x:f>
        <x:v>660</x:v>
      </x:c>
      <x:c r="P315" s="14" t="n">
        <x:f>O315*(1-L315)</x:f>
        <x:v>561</x:v>
      </x:c>
      <x:c r="Q315" s="14" t="n">
        <x:f>K315*N315</x:f>
        <x:v>348</x:v>
      </x:c>
      <x:c r="R315" s="14" t="n">
        <x:f>P315-Q315</x:f>
        <x:v>213</x:v>
      </x:c>
      <x:c r="S315" s="16" t="n">
        <x:f>IFERROR(R315/P315,0)</x:f>
        <x:v>0.37967914438502676</x:v>
      </x:c>
    </x:row>
    <x:row r="316" ht="15" hidden="0" customHeight="1">
      <x:c r="A316" t="str">
        <x:f>Raw_Orders!A316</x:f>
        <x:v>O0315</x:v>
      </x:c>
      <x:c r="B316" s="10" t="n">
        <x:f>Raw_Orders!B316</x:f>
        <x:v>45918</x:v>
      </x:c>
      <x:c r="C316" t="str">
        <x:f>Raw_Orders!C316</x:f>
        <x:v>C047</x:v>
      </x:c>
      <x:c r="D316" t="str">
        <x:f>INDEX(Customers!$B$2:$B$81,MATCH(C316,Customers!$A$2:$A$81,0))</x:f>
        <x:v>Customer 47</x:v>
      </x:c>
      <x:c r="E316" t="str">
        <x:f>INDEX(Customers!$C$2:$C$81,MATCH(C316,Customers!$A$2:$A$81,0))</x:f>
        <x:v>Corporate</x:v>
      </x:c>
      <x:c r="F316" t="str">
        <x:f>INDEX(Customers!$D$2:$D$81,MATCH(C316,Customers!$A$2:$A$81,0))</x:f>
        <x:v>East</x:v>
      </x:c>
      <x:c r="G316" t="str">
        <x:f>Raw_Orders!D316</x:f>
        <x:v>P001</x:v>
      </x:c>
      <x:c r="H316" t="str">
        <x:f>INDEX(Products!$B$2:$B$13,MATCH(G316,Products!$A$2:$A$13,0))</x:f>
        <x:v>Wireless Headset</x:v>
      </x:c>
      <x:c r="I316" t="str">
        <x:f>INDEX(Products!$C$2:$C$13,MATCH(G316,Products!$A$2:$A$13,0))</x:f>
        <x:v>Accessories</x:v>
      </x:c>
      <x:c r="J316" t="str">
        <x:f>Raw_Orders!G316</x:f>
        <x:v>Online</x:v>
      </x:c>
      <x:c r="K316" t="n">
        <x:f>Raw_Orders!E316</x:f>
        <x:v>3</x:v>
      </x:c>
      <x:c r="L316" s="12" t="n">
        <x:f>Raw_Orders!F316</x:f>
        <x:v>0</x:v>
      </x:c>
      <x:c r="M316" s="14" t="n">
        <x:f>INDEX(Products!$D$2:$D$13,MATCH(G316,Products!$A$2:$A$13,0))</x:f>
        <x:v>85</x:v>
      </x:c>
      <x:c r="N316" s="14" t="n">
        <x:f>INDEX(Products!$E$2:$E$13,MATCH(G316,Products!$A$2:$A$13,0))</x:f>
        <x:v>42</x:v>
      </x:c>
      <x:c r="O316" s="14" t="n">
        <x:f>K316*M316</x:f>
        <x:v>255</x:v>
      </x:c>
      <x:c r="P316" s="14" t="n">
        <x:f>O316*(1-L316)</x:f>
        <x:v>255</x:v>
      </x:c>
      <x:c r="Q316" s="14" t="n">
        <x:f>K316*N316</x:f>
        <x:v>126</x:v>
      </x:c>
      <x:c r="R316" s="14" t="n">
        <x:f>P316-Q316</x:f>
        <x:v>129</x:v>
      </x:c>
      <x:c r="S316" s="16" t="n">
        <x:f>IFERROR(R316/P316,0)</x:f>
        <x:v>0.5058823529411764</x:v>
      </x:c>
    </x:row>
    <x:row r="317" ht="15" hidden="0" customHeight="1">
      <x:c r="A317" t="str">
        <x:f>Raw_Orders!A317</x:f>
        <x:v>O0316</x:v>
      </x:c>
      <x:c r="B317" s="10" t="n">
        <x:f>Raw_Orders!B317</x:f>
        <x:v>45767</x:v>
      </x:c>
      <x:c r="C317" t="str">
        <x:f>Raw_Orders!C317</x:f>
        <x:v>C044</x:v>
      </x:c>
      <x:c r="D317" t="str">
        <x:f>INDEX(Customers!$B$2:$B$81,MATCH(C317,Customers!$A$2:$A$81,0))</x:f>
        <x:v>Customer 44</x:v>
      </x:c>
      <x:c r="E317" t="str">
        <x:f>INDEX(Customers!$C$2:$C$81,MATCH(C317,Customers!$A$2:$A$81,0))</x:f>
        <x:v>Corporate</x:v>
      </x:c>
      <x:c r="F317" t="str">
        <x:f>INDEX(Customers!$D$2:$D$81,MATCH(C317,Customers!$A$2:$A$81,0))</x:f>
        <x:v>West</x:v>
      </x:c>
      <x:c r="G317" t="str">
        <x:f>Raw_Orders!D317</x:f>
        <x:v>P008</x:v>
      </x:c>
      <x:c r="H317" t="str">
        <x:f>INDEX(Products!$B$2:$B$13,MATCH(G317,Products!$A$2:$A$13,0))</x:f>
        <x:v>Webcam</x:v>
      </x:c>
      <x:c r="I317" t="str">
        <x:f>INDEX(Products!$C$2:$C$13,MATCH(G317,Products!$A$2:$A$13,0))</x:f>
        <x:v>Accessories</x:v>
      </x:c>
      <x:c r="J317" t="str">
        <x:f>Raw_Orders!G317</x:f>
        <x:v>Online</x:v>
      </x:c>
      <x:c r="K317" t="n">
        <x:f>Raw_Orders!E317</x:f>
        <x:v>2</x:v>
      </x:c>
      <x:c r="L317" s="12" t="n">
        <x:f>Raw_Orders!F317</x:f>
        <x:v>0</x:v>
      </x:c>
      <x:c r="M317" s="14" t="n">
        <x:f>INDEX(Products!$D$2:$D$13,MATCH(G317,Products!$A$2:$A$13,0))</x:f>
        <x:v>95</x:v>
      </x:c>
      <x:c r="N317" s="14" t="n">
        <x:f>INDEX(Products!$E$2:$E$13,MATCH(G317,Products!$A$2:$A$13,0))</x:f>
        <x:v>49</x:v>
      </x:c>
      <x:c r="O317" s="14" t="n">
        <x:f>K317*M317</x:f>
        <x:v>190</x:v>
      </x:c>
      <x:c r="P317" s="14" t="n">
        <x:f>O317*(1-L317)</x:f>
        <x:v>190</x:v>
      </x:c>
      <x:c r="Q317" s="14" t="n">
        <x:f>K317*N317</x:f>
        <x:v>98</x:v>
      </x:c>
      <x:c r="R317" s="14" t="n">
        <x:f>P317-Q317</x:f>
        <x:v>92</x:v>
      </x:c>
      <x:c r="S317" s="16" t="n">
        <x:f>IFERROR(R317/P317,0)</x:f>
        <x:v>0.4842105263157895</x:v>
      </x:c>
    </x:row>
    <x:row r="318" ht="15" hidden="0" customHeight="1">
      <x:c r="A318" t="str">
        <x:f>Raw_Orders!A318</x:f>
        <x:v>O0317</x:v>
      </x:c>
      <x:c r="B318" s="10" t="n">
        <x:f>Raw_Orders!B318</x:f>
        <x:v>45737</x:v>
      </x:c>
      <x:c r="C318" t="str">
        <x:f>Raw_Orders!C318</x:f>
        <x:v>C010</x:v>
      </x:c>
      <x:c r="D318" t="str">
        <x:f>INDEX(Customers!$B$2:$B$81,MATCH(C318,Customers!$A$2:$A$81,0))</x:f>
        <x:v>Customer 10</x:v>
      </x:c>
      <x:c r="E318" t="str">
        <x:f>INDEX(Customers!$C$2:$C$81,MATCH(C318,Customers!$A$2:$A$81,0))</x:f>
        <x:v>Consumer</x:v>
      </x:c>
      <x:c r="F318" t="str">
        <x:f>INDEX(Customers!$D$2:$D$81,MATCH(C318,Customers!$A$2:$A$81,0))</x:f>
        <x:v>South</x:v>
      </x:c>
      <x:c r="G318" t="str">
        <x:f>Raw_Orders!D318</x:f>
        <x:v>P005</x:v>
      </x:c>
      <x:c r="H318" t="str">
        <x:f>INDEX(Products!$B$2:$B$13,MATCH(G318,Products!$A$2:$A$13,0))</x:f>
        <x:v>27in Monitor</x:v>
      </x:c>
      <x:c r="I318" t="str">
        <x:f>INDEX(Products!$C$2:$C$13,MATCH(G318,Products!$A$2:$A$13,0))</x:f>
        <x:v>Displays</x:v>
      </x:c>
      <x:c r="J318" t="str">
        <x:f>Raw_Orders!G318</x:f>
        <x:v>Partner</x:v>
      </x:c>
      <x:c r="K318" t="n">
        <x:f>Raw_Orders!E318</x:f>
        <x:v>1</x:v>
      </x:c>
      <x:c r="L318" s="12" t="n">
        <x:f>Raw_Orders!F318</x:f>
        <x:v>0.1</x:v>
      </x:c>
      <x:c r="M318" s="14" t="n">
        <x:f>INDEX(Products!$D$2:$D$13,MATCH(G318,Products!$A$2:$A$13,0))</x:f>
        <x:v>310</x:v>
      </x:c>
      <x:c r="N318" s="14" t="n">
        <x:f>INDEX(Products!$E$2:$E$13,MATCH(G318,Products!$A$2:$A$13,0))</x:f>
        <x:v>205</x:v>
      </x:c>
      <x:c r="O318" s="14" t="n">
        <x:f>K318*M318</x:f>
        <x:v>310</x:v>
      </x:c>
      <x:c r="P318" s="14" t="n">
        <x:f>O318*(1-L318)</x:f>
        <x:v>279</x:v>
      </x:c>
      <x:c r="Q318" s="14" t="n">
        <x:f>K318*N318</x:f>
        <x:v>205</x:v>
      </x:c>
      <x:c r="R318" s="14" t="n">
        <x:f>P318-Q318</x:f>
        <x:v>74</x:v>
      </x:c>
      <x:c r="S318" s="16" t="n">
        <x:f>IFERROR(R318/P318,0)</x:f>
        <x:v>0.26523297491039427</x:v>
      </x:c>
    </x:row>
    <x:row r="319" ht="15" hidden="0" customHeight="1">
      <x:c r="A319" t="str">
        <x:f>Raw_Orders!A319</x:f>
        <x:v>O0318</x:v>
      </x:c>
      <x:c r="B319" s="10" t="n">
        <x:f>Raw_Orders!B319</x:f>
        <x:v>45927</x:v>
      </x:c>
      <x:c r="C319" t="str">
        <x:f>Raw_Orders!C319</x:f>
        <x:v>C005</x:v>
      </x:c>
      <x:c r="D319" t="str">
        <x:f>INDEX(Customers!$B$2:$B$81,MATCH(C319,Customers!$A$2:$A$81,0))</x:f>
        <x:v>Customer 05</x:v>
      </x:c>
      <x:c r="E319" t="str">
        <x:f>INDEX(Customers!$C$2:$C$81,MATCH(C319,Customers!$A$2:$A$81,0))</x:f>
        <x:v>Corporate</x:v>
      </x:c>
      <x:c r="F319" t="str">
        <x:f>INDEX(Customers!$D$2:$D$81,MATCH(C319,Customers!$A$2:$A$81,0))</x:f>
        <x:v>North</x:v>
      </x:c>
      <x:c r="G319" t="str">
        <x:f>Raw_Orders!D319</x:f>
        <x:v>P011</x:v>
      </x:c>
      <x:c r="H319" t="str">
        <x:f>INDEX(Products!$B$2:$B$13,MATCH(G319,Products!$A$2:$A$13,0))</x:f>
        <x:v>External HDD</x:v>
      </x:c>
      <x:c r="I319" t="str">
        <x:f>INDEX(Products!$C$2:$C$13,MATCH(G319,Products!$A$2:$A$13,0))</x:f>
        <x:v>Storage</x:v>
      </x:c>
      <x:c r="J319" t="str">
        <x:f>Raw_Orders!G319</x:f>
        <x:v>Online</x:v>
      </x:c>
      <x:c r="K319" t="n">
        <x:f>Raw_Orders!E319</x:f>
        <x:v>3</x:v>
      </x:c>
      <x:c r="L319" s="12" t="n">
        <x:f>Raw_Orders!F319</x:f>
        <x:v>0.1</x:v>
      </x:c>
      <x:c r="M319" s="14" t="n">
        <x:f>INDEX(Products!$D$2:$D$13,MATCH(G319,Products!$A$2:$A$13,0))</x:f>
        <x:v>120</x:v>
      </x:c>
      <x:c r="N319" s="14" t="n">
        <x:f>INDEX(Products!$E$2:$E$13,MATCH(G319,Products!$A$2:$A$13,0))</x:f>
        <x:v>72</x:v>
      </x:c>
      <x:c r="O319" s="14" t="n">
        <x:f>K319*M319</x:f>
        <x:v>360</x:v>
      </x:c>
      <x:c r="P319" s="14" t="n">
        <x:f>O319*(1-L319)</x:f>
        <x:v>324</x:v>
      </x:c>
      <x:c r="Q319" s="14" t="n">
        <x:f>K319*N319</x:f>
        <x:v>216</x:v>
      </x:c>
      <x:c r="R319" s="14" t="n">
        <x:f>P319-Q319</x:f>
        <x:v>108</x:v>
      </x:c>
      <x:c r="S319" s="16" t="n">
        <x:f>IFERROR(R319/P319,0)</x:f>
        <x:v>0.3333333333333333</x:v>
      </x:c>
    </x:row>
    <x:row r="320" ht="15" hidden="0" customHeight="1">
      <x:c r="A320" t="str">
        <x:f>Raw_Orders!A320</x:f>
        <x:v>O0319</x:v>
      </x:c>
      <x:c r="B320" s="10" t="n">
        <x:f>Raw_Orders!B320</x:f>
        <x:v>45963</x:v>
      </x:c>
      <x:c r="C320" t="str">
        <x:f>Raw_Orders!C320</x:f>
        <x:v>C049</x:v>
      </x:c>
      <x:c r="D320" t="str">
        <x:f>INDEX(Customers!$B$2:$B$81,MATCH(C320,Customers!$A$2:$A$81,0))</x:f>
        <x:v>Customer 49</x:v>
      </x:c>
      <x:c r="E320" t="str">
        <x:f>INDEX(Customers!$C$2:$C$81,MATCH(C320,Customers!$A$2:$A$81,0))</x:f>
        <x:v>Consumer</x:v>
      </x:c>
      <x:c r="F320" t="str">
        <x:f>INDEX(Customers!$D$2:$D$81,MATCH(C320,Customers!$A$2:$A$81,0))</x:f>
        <x:v>North</x:v>
      </x:c>
      <x:c r="G320" t="str">
        <x:f>Raw_Orders!D320</x:f>
        <x:v>P003</x:v>
      </x:c>
      <x:c r="H320" t="str">
        <x:f>INDEX(Products!$B$2:$B$13,MATCH(G320,Products!$A$2:$A$13,0))</x:f>
        <x:v>USB-C Hub</x:v>
      </x:c>
      <x:c r="I320" t="str">
        <x:f>INDEX(Products!$C$2:$C$13,MATCH(G320,Products!$A$2:$A$13,0))</x:f>
        <x:v>Accessories</x:v>
      </x:c>
      <x:c r="J320" t="str">
        <x:f>Raw_Orders!G320</x:f>
        <x:v>Partner</x:v>
      </x:c>
      <x:c r="K320" t="n">
        <x:f>Raw_Orders!E320</x:f>
        <x:v>2</x:v>
      </x:c>
      <x:c r="L320" s="12" t="n">
        <x:f>Raw_Orders!F320</x:f>
        <x:v>0</x:v>
      </x:c>
      <x:c r="M320" s="14" t="n">
        <x:f>INDEX(Products!$D$2:$D$13,MATCH(G320,Products!$A$2:$A$13,0))</x:f>
        <x:v>65</x:v>
      </x:c>
      <x:c r="N320" s="14" t="n">
        <x:f>INDEX(Products!$E$2:$E$13,MATCH(G320,Products!$A$2:$A$13,0))</x:f>
        <x:v>31</x:v>
      </x:c>
      <x:c r="O320" s="14" t="n">
        <x:f>K320*M320</x:f>
        <x:v>130</x:v>
      </x:c>
      <x:c r="P320" s="14" t="n">
        <x:f>O320*(1-L320)</x:f>
        <x:v>130</x:v>
      </x:c>
      <x:c r="Q320" s="14" t="n">
        <x:f>K320*N320</x:f>
        <x:v>62</x:v>
      </x:c>
      <x:c r="R320" s="14" t="n">
        <x:f>P320-Q320</x:f>
        <x:v>68</x:v>
      </x:c>
      <x:c r="S320" s="16" t="n">
        <x:f>IFERROR(R320/P320,0)</x:f>
        <x:v>0.5230769230769231</x:v>
      </x:c>
    </x:row>
    <x:row r="321" ht="15" hidden="0" customHeight="1">
      <x:c r="A321" t="str">
        <x:f>Raw_Orders!A321</x:f>
        <x:v>O0320</x:v>
      </x:c>
      <x:c r="B321" s="10" t="n">
        <x:f>Raw_Orders!B321</x:f>
        <x:v>45977</x:v>
      </x:c>
      <x:c r="C321" t="str">
        <x:f>Raw_Orders!C321</x:f>
        <x:v>C022</x:v>
      </x:c>
      <x:c r="D321" t="str">
        <x:f>INDEX(Customers!$B$2:$B$81,MATCH(C321,Customers!$A$2:$A$81,0))</x:f>
        <x:v>Customer 22</x:v>
      </x:c>
      <x:c r="E321" t="str">
        <x:f>INDEX(Customers!$C$2:$C$81,MATCH(C321,Customers!$A$2:$A$81,0))</x:f>
        <x:v>Consumer</x:v>
      </x:c>
      <x:c r="F321" t="str">
        <x:f>INDEX(Customers!$D$2:$D$81,MATCH(C321,Customers!$A$2:$A$81,0))</x:f>
        <x:v>South</x:v>
      </x:c>
      <x:c r="G321" t="str">
        <x:f>Raw_Orders!D321</x:f>
        <x:v>P012</x:v>
      </x:c>
      <x:c r="H321" t="str">
        <x:f>INDEX(Products!$B$2:$B$13,MATCH(G321,Products!$A$2:$A$13,0))</x:f>
        <x:v>Docking Station</x:v>
      </x:c>
      <x:c r="I321" t="str">
        <x:f>INDEX(Products!$C$2:$C$13,MATCH(G321,Products!$A$2:$A$13,0))</x:f>
        <x:v>Accessories</x:v>
      </x:c>
      <x:c r="J321" t="str">
        <x:f>Raw_Orders!G321</x:f>
        <x:v>Retail</x:v>
      </x:c>
      <x:c r="K321" t="n">
        <x:f>Raw_Orders!E321</x:f>
        <x:v>4</x:v>
      </x:c>
      <x:c r="L321" s="12" t="n">
        <x:f>Raw_Orders!F321</x:f>
        <x:v>0</x:v>
      </x:c>
      <x:c r="M321" s="14" t="n">
        <x:f>INDEX(Products!$D$2:$D$13,MATCH(G321,Products!$A$2:$A$13,0))</x:f>
        <x:v>180</x:v>
      </x:c>
      <x:c r="N321" s="14" t="n">
        <x:f>INDEX(Products!$E$2:$E$13,MATCH(G321,Products!$A$2:$A$13,0))</x:f>
        <x:v>104</x:v>
      </x:c>
      <x:c r="O321" s="14" t="n">
        <x:f>K321*M321</x:f>
        <x:v>720</x:v>
      </x:c>
      <x:c r="P321" s="14" t="n">
        <x:f>O321*(1-L321)</x:f>
        <x:v>720</x:v>
      </x:c>
      <x:c r="Q321" s="14" t="n">
        <x:f>K321*N321</x:f>
        <x:v>416</x:v>
      </x:c>
      <x:c r="R321" s="14" t="n">
        <x:f>P321-Q321</x:f>
        <x:v>304</x:v>
      </x:c>
      <x:c r="S321" s="16" t="n">
        <x:f>IFERROR(R321/P321,0)</x:f>
        <x:v>0.4222222222222222</x:v>
      </x:c>
    </x:row>
    <x:row r="322" ht="15" hidden="0" customHeight="1">
      <x:c r="A322" t="str">
        <x:f>Raw_Orders!A322</x:f>
        <x:v>O0321</x:v>
      </x:c>
      <x:c r="B322" s="10" t="n">
        <x:f>Raw_Orders!B322</x:f>
        <x:v>45844</x:v>
      </x:c>
      <x:c r="C322" t="str">
        <x:f>Raw_Orders!C322</x:f>
        <x:v>C031</x:v>
      </x:c>
      <x:c r="D322" t="str">
        <x:f>INDEX(Customers!$B$2:$B$81,MATCH(C322,Customers!$A$2:$A$81,0))</x:f>
        <x:v>Customer 31</x:v>
      </x:c>
      <x:c r="E322" t="str">
        <x:f>INDEX(Customers!$C$2:$C$81,MATCH(C322,Customers!$A$2:$A$81,0))</x:f>
        <x:v>Consumer</x:v>
      </x:c>
      <x:c r="F322" t="str">
        <x:f>INDEX(Customers!$D$2:$D$81,MATCH(C322,Customers!$A$2:$A$81,0))</x:f>
        <x:v>East</x:v>
      </x:c>
      <x:c r="G322" t="str">
        <x:f>Raw_Orders!D322</x:f>
        <x:v>P008</x:v>
      </x:c>
      <x:c r="H322" t="str">
        <x:f>INDEX(Products!$B$2:$B$13,MATCH(G322,Products!$A$2:$A$13,0))</x:f>
        <x:v>Webcam</x:v>
      </x:c>
      <x:c r="I322" t="str">
        <x:f>INDEX(Products!$C$2:$C$13,MATCH(G322,Products!$A$2:$A$13,0))</x:f>
        <x:v>Accessories</x:v>
      </x:c>
      <x:c r="J322" t="str">
        <x:f>Raw_Orders!G322</x:f>
        <x:v>Partner</x:v>
      </x:c>
      <x:c r="K322" t="n">
        <x:f>Raw_Orders!E322</x:f>
        <x:v>5</x:v>
      </x:c>
      <x:c r="L322" s="12" t="n">
        <x:f>Raw_Orders!F322</x:f>
        <x:v>0</x:v>
      </x:c>
      <x:c r="M322" s="14" t="n">
        <x:f>INDEX(Products!$D$2:$D$13,MATCH(G322,Products!$A$2:$A$13,0))</x:f>
        <x:v>95</x:v>
      </x:c>
      <x:c r="N322" s="14" t="n">
        <x:f>INDEX(Products!$E$2:$E$13,MATCH(G322,Products!$A$2:$A$13,0))</x:f>
        <x:v>49</x:v>
      </x:c>
      <x:c r="O322" s="14" t="n">
        <x:f>K322*M322</x:f>
        <x:v>475</x:v>
      </x:c>
      <x:c r="P322" s="14" t="n">
        <x:f>O322*(1-L322)</x:f>
        <x:v>475</x:v>
      </x:c>
      <x:c r="Q322" s="14" t="n">
        <x:f>K322*N322</x:f>
        <x:v>245</x:v>
      </x:c>
      <x:c r="R322" s="14" t="n">
        <x:f>P322-Q322</x:f>
        <x:v>230</x:v>
      </x:c>
      <x:c r="S322" s="16" t="n">
        <x:f>IFERROR(R322/P322,0)</x:f>
        <x:v>0.4842105263157895</x:v>
      </x:c>
    </x:row>
    <x:row r="323" ht="15" hidden="0" customHeight="1">
      <x:c r="A323" t="str">
        <x:f>Raw_Orders!A323</x:f>
        <x:v>O0322</x:v>
      </x:c>
      <x:c r="B323" s="10" t="n">
        <x:f>Raw_Orders!B323</x:f>
        <x:v>45887</x:v>
      </x:c>
      <x:c r="C323" t="str">
        <x:f>Raw_Orders!C323</x:f>
        <x:v>C030</x:v>
      </x:c>
      <x:c r="D323" t="str">
        <x:f>INDEX(Customers!$B$2:$B$81,MATCH(C323,Customers!$A$2:$A$81,0))</x:f>
        <x:v>Customer 30</x:v>
      </x:c>
      <x:c r="E323" t="str">
        <x:f>INDEX(Customers!$C$2:$C$81,MATCH(C323,Customers!$A$2:$A$81,0))</x:f>
        <x:v>Small Business</x:v>
      </x:c>
      <x:c r="F323" t="str">
        <x:f>INDEX(Customers!$D$2:$D$81,MATCH(C323,Customers!$A$2:$A$81,0))</x:f>
        <x:v>South</x:v>
      </x:c>
      <x:c r="G323" t="str">
        <x:f>Raw_Orders!D323</x:f>
        <x:v>P009</x:v>
      </x:c>
      <x:c r="H323" t="str">
        <x:f>INDEX(Products!$B$2:$B$13,MATCH(G323,Products!$A$2:$A$13,0))</x:f>
        <x:v>Desk Lamp</x:v>
      </x:c>
      <x:c r="I323" t="str">
        <x:f>INDEX(Products!$C$2:$C$13,MATCH(G323,Products!$A$2:$A$13,0))</x:f>
        <x:v>Office</x:v>
      </x:c>
      <x:c r="J323" t="str">
        <x:f>Raw_Orders!G323</x:f>
        <x:v>Retail</x:v>
      </x:c>
      <x:c r="K323" t="n">
        <x:f>Raw_Orders!E323</x:f>
        <x:v>2</x:v>
      </x:c>
      <x:c r="L323" s="12" t="n">
        <x:f>Raw_Orders!F323</x:f>
        <x:v>0</x:v>
      </x:c>
      <x:c r="M323" s="14" t="n">
        <x:f>INDEX(Products!$D$2:$D$13,MATCH(G323,Products!$A$2:$A$13,0))</x:f>
        <x:v>70</x:v>
      </x:c>
      <x:c r="N323" s="14" t="n">
        <x:f>INDEX(Products!$E$2:$E$13,MATCH(G323,Products!$A$2:$A$13,0))</x:f>
        <x:v>29</x:v>
      </x:c>
      <x:c r="O323" s="14" t="n">
        <x:f>K323*M323</x:f>
        <x:v>140</x:v>
      </x:c>
      <x:c r="P323" s="14" t="n">
        <x:f>O323*(1-L323)</x:f>
        <x:v>140</x:v>
      </x:c>
      <x:c r="Q323" s="14" t="n">
        <x:f>K323*N323</x:f>
        <x:v>58</x:v>
      </x:c>
      <x:c r="R323" s="14" t="n">
        <x:f>P323-Q323</x:f>
        <x:v>82</x:v>
      </x:c>
      <x:c r="S323" s="16" t="n">
        <x:f>IFERROR(R323/P323,0)</x:f>
        <x:v>0.5857142857142857</x:v>
      </x:c>
    </x:row>
    <x:row r="324" ht="15" hidden="0" customHeight="1">
      <x:c r="A324" t="str">
        <x:f>Raw_Orders!A324</x:f>
        <x:v>O0323</x:v>
      </x:c>
      <x:c r="B324" s="10" t="n">
        <x:f>Raw_Orders!B324</x:f>
        <x:v>45757</x:v>
      </x:c>
      <x:c r="C324" t="str">
        <x:f>Raw_Orders!C324</x:f>
        <x:v>C048</x:v>
      </x:c>
      <x:c r="D324" t="str">
        <x:f>INDEX(Customers!$B$2:$B$81,MATCH(C324,Customers!$A$2:$A$81,0))</x:f>
        <x:v>Customer 48</x:v>
      </x:c>
      <x:c r="E324" t="str">
        <x:f>INDEX(Customers!$C$2:$C$81,MATCH(C324,Customers!$A$2:$A$81,0))</x:f>
        <x:v>Small Business</x:v>
      </x:c>
      <x:c r="F324" t="str">
        <x:f>INDEX(Customers!$D$2:$D$81,MATCH(C324,Customers!$A$2:$A$81,0))</x:f>
        <x:v>West</x:v>
      </x:c>
      <x:c r="G324" t="str">
        <x:f>Raw_Orders!D324</x:f>
        <x:v>P011</x:v>
      </x:c>
      <x:c r="H324" t="str">
        <x:f>INDEX(Products!$B$2:$B$13,MATCH(G324,Products!$A$2:$A$13,0))</x:f>
        <x:v>External HDD</x:v>
      </x:c>
      <x:c r="I324" t="str">
        <x:f>INDEX(Products!$C$2:$C$13,MATCH(G324,Products!$A$2:$A$13,0))</x:f>
        <x:v>Storage</x:v>
      </x:c>
      <x:c r="J324" t="str">
        <x:f>Raw_Orders!G324</x:f>
        <x:v>Retail</x:v>
      </x:c>
      <x:c r="K324" t="n">
        <x:f>Raw_Orders!E324</x:f>
        <x:v>5</x:v>
      </x:c>
      <x:c r="L324" s="12" t="n">
        <x:f>Raw_Orders!F324</x:f>
        <x:v>0.05</x:v>
      </x:c>
      <x:c r="M324" s="14" t="n">
        <x:f>INDEX(Products!$D$2:$D$13,MATCH(G324,Products!$A$2:$A$13,0))</x:f>
        <x:v>120</x:v>
      </x:c>
      <x:c r="N324" s="14" t="n">
        <x:f>INDEX(Products!$E$2:$E$13,MATCH(G324,Products!$A$2:$A$13,0))</x:f>
        <x:v>72</x:v>
      </x:c>
      <x:c r="O324" s="14" t="n">
        <x:f>K324*M324</x:f>
        <x:v>600</x:v>
      </x:c>
      <x:c r="P324" s="14" t="n">
        <x:f>O324*(1-L324)</x:f>
        <x:v>570</x:v>
      </x:c>
      <x:c r="Q324" s="14" t="n">
        <x:f>K324*N324</x:f>
        <x:v>360</x:v>
      </x:c>
      <x:c r="R324" s="14" t="n">
        <x:f>P324-Q324</x:f>
        <x:v>210</x:v>
      </x:c>
      <x:c r="S324" s="16" t="n">
        <x:f>IFERROR(R324/P324,0)</x:f>
        <x:v>0.3684210526315789</x:v>
      </x:c>
    </x:row>
    <x:row r="325" ht="15" hidden="0" customHeight="1">
      <x:c r="A325" t="str">
        <x:f>Raw_Orders!A325</x:f>
        <x:v>O0324</x:v>
      </x:c>
      <x:c r="B325" s="10" t="n">
        <x:f>Raw_Orders!B325</x:f>
        <x:v>45802</x:v>
      </x:c>
      <x:c r="C325" t="str">
        <x:f>Raw_Orders!C325</x:f>
        <x:v>C049</x:v>
      </x:c>
      <x:c r="D325" t="str">
        <x:f>INDEX(Customers!$B$2:$B$81,MATCH(C325,Customers!$A$2:$A$81,0))</x:f>
        <x:v>Customer 49</x:v>
      </x:c>
      <x:c r="E325" t="str">
        <x:f>INDEX(Customers!$C$2:$C$81,MATCH(C325,Customers!$A$2:$A$81,0))</x:f>
        <x:v>Consumer</x:v>
      </x:c>
      <x:c r="F325" t="str">
        <x:f>INDEX(Customers!$D$2:$D$81,MATCH(C325,Customers!$A$2:$A$81,0))</x:f>
        <x:v>North</x:v>
      </x:c>
      <x:c r="G325" t="str">
        <x:f>Raw_Orders!D325</x:f>
        <x:v>P009</x:v>
      </x:c>
      <x:c r="H325" t="str">
        <x:f>INDEX(Products!$B$2:$B$13,MATCH(G325,Products!$A$2:$A$13,0))</x:f>
        <x:v>Desk Lamp</x:v>
      </x:c>
      <x:c r="I325" t="str">
        <x:f>INDEX(Products!$C$2:$C$13,MATCH(G325,Products!$A$2:$A$13,0))</x:f>
        <x:v>Office</x:v>
      </x:c>
      <x:c r="J325" t="str">
        <x:f>Raw_Orders!G325</x:f>
        <x:v>Online</x:v>
      </x:c>
      <x:c r="K325" t="n">
        <x:f>Raw_Orders!E325</x:f>
        <x:v>5</x:v>
      </x:c>
      <x:c r="L325" s="12" t="n">
        <x:f>Raw_Orders!F325</x:f>
        <x:v>0.05</x:v>
      </x:c>
      <x:c r="M325" s="14" t="n">
        <x:f>INDEX(Products!$D$2:$D$13,MATCH(G325,Products!$A$2:$A$13,0))</x:f>
        <x:v>70</x:v>
      </x:c>
      <x:c r="N325" s="14" t="n">
        <x:f>INDEX(Products!$E$2:$E$13,MATCH(G325,Products!$A$2:$A$13,0))</x:f>
        <x:v>29</x:v>
      </x:c>
      <x:c r="O325" s="14" t="n">
        <x:f>K325*M325</x:f>
        <x:v>350</x:v>
      </x:c>
      <x:c r="P325" s="14" t="n">
        <x:f>O325*(1-L325)</x:f>
        <x:v>332.5</x:v>
      </x:c>
      <x:c r="Q325" s="14" t="n">
        <x:f>K325*N325</x:f>
        <x:v>145</x:v>
      </x:c>
      <x:c r="R325" s="14" t="n">
        <x:f>P325-Q325</x:f>
        <x:v>187.5</x:v>
      </x:c>
      <x:c r="S325" s="16" t="n">
        <x:f>IFERROR(R325/P325,0)</x:f>
        <x:v>0.5639097744360902</x:v>
      </x:c>
    </x:row>
    <x:row r="326" ht="15" hidden="0" customHeight="1">
      <x:c r="A326" t="str">
        <x:f>Raw_Orders!A326</x:f>
        <x:v>O0325</x:v>
      </x:c>
      <x:c r="B326" s="10" t="n">
        <x:f>Raw_Orders!B326</x:f>
        <x:v>45760</x:v>
      </x:c>
      <x:c r="C326" t="str">
        <x:f>Raw_Orders!C326</x:f>
        <x:v>C078</x:v>
      </x:c>
      <x:c r="D326" t="str">
        <x:f>INDEX(Customers!$B$2:$B$81,MATCH(C326,Customers!$A$2:$A$81,0))</x:f>
        <x:v>Customer 78</x:v>
      </x:c>
      <x:c r="E326" t="str">
        <x:f>INDEX(Customers!$C$2:$C$81,MATCH(C326,Customers!$A$2:$A$81,0))</x:f>
        <x:v>Small Business</x:v>
      </x:c>
      <x:c r="F326" t="str">
        <x:f>INDEX(Customers!$D$2:$D$81,MATCH(C326,Customers!$A$2:$A$81,0))</x:f>
        <x:v>South</x:v>
      </x:c>
      <x:c r="G326" t="str">
        <x:f>Raw_Orders!D326</x:f>
        <x:v>P003</x:v>
      </x:c>
      <x:c r="H326" t="str">
        <x:f>INDEX(Products!$B$2:$B$13,MATCH(G326,Products!$A$2:$A$13,0))</x:f>
        <x:v>USB-C Hub</x:v>
      </x:c>
      <x:c r="I326" t="str">
        <x:f>INDEX(Products!$C$2:$C$13,MATCH(G326,Products!$A$2:$A$13,0))</x:f>
        <x:v>Accessories</x:v>
      </x:c>
      <x:c r="J326" t="str">
        <x:f>Raw_Orders!G326</x:f>
        <x:v>Partner</x:v>
      </x:c>
      <x:c r="K326" t="n">
        <x:f>Raw_Orders!E326</x:f>
        <x:v>3</x:v>
      </x:c>
      <x:c r="L326" s="12" t="n">
        <x:f>Raw_Orders!F326</x:f>
        <x:v>0</x:v>
      </x:c>
      <x:c r="M326" s="14" t="n">
        <x:f>INDEX(Products!$D$2:$D$13,MATCH(G326,Products!$A$2:$A$13,0))</x:f>
        <x:v>65</x:v>
      </x:c>
      <x:c r="N326" s="14" t="n">
        <x:f>INDEX(Products!$E$2:$E$13,MATCH(G326,Products!$A$2:$A$13,0))</x:f>
        <x:v>31</x:v>
      </x:c>
      <x:c r="O326" s="14" t="n">
        <x:f>K326*M326</x:f>
        <x:v>195</x:v>
      </x:c>
      <x:c r="P326" s="14" t="n">
        <x:f>O326*(1-L326)</x:f>
        <x:v>195</x:v>
      </x:c>
      <x:c r="Q326" s="14" t="n">
        <x:f>K326*N326</x:f>
        <x:v>93</x:v>
      </x:c>
      <x:c r="R326" s="14" t="n">
        <x:f>P326-Q326</x:f>
        <x:v>102</x:v>
      </x:c>
      <x:c r="S326" s="16" t="n">
        <x:f>IFERROR(R326/P326,0)</x:f>
        <x:v>0.5230769230769231</x:v>
      </x:c>
    </x:row>
    <x:row r="327" ht="15" hidden="0" customHeight="1">
      <x:c r="A327" t="str">
        <x:f>Raw_Orders!A327</x:f>
        <x:v>O0326</x:v>
      </x:c>
      <x:c r="B327" s="10" t="n">
        <x:f>Raw_Orders!B327</x:f>
        <x:v>45904</x:v>
      </x:c>
      <x:c r="C327" t="str">
        <x:f>Raw_Orders!C327</x:f>
        <x:v>C048</x:v>
      </x:c>
      <x:c r="D327" t="str">
        <x:f>INDEX(Customers!$B$2:$B$81,MATCH(C327,Customers!$A$2:$A$81,0))</x:f>
        <x:v>Customer 48</x:v>
      </x:c>
      <x:c r="E327" t="str">
        <x:f>INDEX(Customers!$C$2:$C$81,MATCH(C327,Customers!$A$2:$A$81,0))</x:f>
        <x:v>Small Business</x:v>
      </x:c>
      <x:c r="F327" t="str">
        <x:f>INDEX(Customers!$D$2:$D$81,MATCH(C327,Customers!$A$2:$A$81,0))</x:f>
        <x:v>West</x:v>
      </x:c>
      <x:c r="G327" t="str">
        <x:f>Raw_Orders!D327</x:f>
        <x:v>P009</x:v>
      </x:c>
      <x:c r="H327" t="str">
        <x:f>INDEX(Products!$B$2:$B$13,MATCH(G327,Products!$A$2:$A$13,0))</x:f>
        <x:v>Desk Lamp</x:v>
      </x:c>
      <x:c r="I327" t="str">
        <x:f>INDEX(Products!$C$2:$C$13,MATCH(G327,Products!$A$2:$A$13,0))</x:f>
        <x:v>Office</x:v>
      </x:c>
      <x:c r="J327" t="str">
        <x:f>Raw_Orders!G327</x:f>
        <x:v>Partner</x:v>
      </x:c>
      <x:c r="K327" t="n">
        <x:f>Raw_Orders!E327</x:f>
        <x:v>1</x:v>
      </x:c>
      <x:c r="L327" s="12" t="n">
        <x:f>Raw_Orders!F327</x:f>
        <x:v>0.15</x:v>
      </x:c>
      <x:c r="M327" s="14" t="n">
        <x:f>INDEX(Products!$D$2:$D$13,MATCH(G327,Products!$A$2:$A$13,0))</x:f>
        <x:v>70</x:v>
      </x:c>
      <x:c r="N327" s="14" t="n">
        <x:f>INDEX(Products!$E$2:$E$13,MATCH(G327,Products!$A$2:$A$13,0))</x:f>
        <x:v>29</x:v>
      </x:c>
      <x:c r="O327" s="14" t="n">
        <x:f>K327*M327</x:f>
        <x:v>70</x:v>
      </x:c>
      <x:c r="P327" s="14" t="n">
        <x:f>O327*(1-L327)</x:f>
        <x:v>59.5</x:v>
      </x:c>
      <x:c r="Q327" s="14" t="n">
        <x:f>K327*N327</x:f>
        <x:v>29</x:v>
      </x:c>
      <x:c r="R327" s="14" t="n">
        <x:f>P327-Q327</x:f>
        <x:v>30.5</x:v>
      </x:c>
      <x:c r="S327" s="16" t="n">
        <x:f>IFERROR(R327/P327,0)</x:f>
        <x:v>0.5126050420168067</x:v>
      </x:c>
    </x:row>
    <x:row r="328" ht="15" hidden="0" customHeight="1">
      <x:c r="A328" t="str">
        <x:f>Raw_Orders!A328</x:f>
        <x:v>O0327</x:v>
      </x:c>
      <x:c r="B328" s="10" t="n">
        <x:f>Raw_Orders!B328</x:f>
        <x:v>45721</x:v>
      </x:c>
      <x:c r="C328" t="str">
        <x:f>Raw_Orders!C328</x:f>
        <x:v>C037</x:v>
      </x:c>
      <x:c r="D328" t="str">
        <x:f>INDEX(Customers!$B$2:$B$81,MATCH(C328,Customers!$A$2:$A$81,0))</x:f>
        <x:v>Customer 37</x:v>
      </x:c>
      <x:c r="E328" t="str">
        <x:f>INDEX(Customers!$C$2:$C$81,MATCH(C328,Customers!$A$2:$A$81,0))</x:f>
        <x:v>Consumer</x:v>
      </x:c>
      <x:c r="F328" t="str">
        <x:f>INDEX(Customers!$D$2:$D$81,MATCH(C328,Customers!$A$2:$A$81,0))</x:f>
        <x:v>North</x:v>
      </x:c>
      <x:c r="G328" t="str">
        <x:f>Raw_Orders!D328</x:f>
        <x:v>P002</x:v>
      </x:c>
      <x:c r="H328" t="str">
        <x:f>INDEX(Products!$B$2:$B$13,MATCH(G328,Products!$A$2:$A$13,0))</x:f>
        <x:v>Mechanical Keyboard</x:v>
      </x:c>
      <x:c r="I328" t="str">
        <x:f>INDEX(Products!$C$2:$C$13,MATCH(G328,Products!$A$2:$A$13,0))</x:f>
        <x:v>Accessories</x:v>
      </x:c>
      <x:c r="J328" t="str">
        <x:f>Raw_Orders!G328</x:f>
        <x:v>Retail</x:v>
      </x:c>
      <x:c r="K328" t="n">
        <x:f>Raw_Orders!E328</x:f>
        <x:v>2</x:v>
      </x:c>
      <x:c r="L328" s="12" t="n">
        <x:f>Raw_Orders!F328</x:f>
        <x:v>0</x:v>
      </x:c>
      <x:c r="M328" s="14" t="n">
        <x:f>INDEX(Products!$D$2:$D$13,MATCH(G328,Products!$A$2:$A$13,0))</x:f>
        <x:v>110</x:v>
      </x:c>
      <x:c r="N328" s="14" t="n">
        <x:f>INDEX(Products!$E$2:$E$13,MATCH(G328,Products!$A$2:$A$13,0))</x:f>
        <x:v>58</x:v>
      </x:c>
      <x:c r="O328" s="14" t="n">
        <x:f>K328*M328</x:f>
        <x:v>220</x:v>
      </x:c>
      <x:c r="P328" s="14" t="n">
        <x:f>O328*(1-L328)</x:f>
        <x:v>220</x:v>
      </x:c>
      <x:c r="Q328" s="14" t="n">
        <x:f>K328*N328</x:f>
        <x:v>116</x:v>
      </x:c>
      <x:c r="R328" s="14" t="n">
        <x:f>P328-Q328</x:f>
        <x:v>104</x:v>
      </x:c>
      <x:c r="S328" s="16" t="n">
        <x:f>IFERROR(R328/P328,0)</x:f>
        <x:v>0.4727272727272727</x:v>
      </x:c>
    </x:row>
    <x:row r="329" ht="15" hidden="0" customHeight="1">
      <x:c r="A329" t="str">
        <x:f>Raw_Orders!A329</x:f>
        <x:v>O0328</x:v>
      </x:c>
      <x:c r="B329" s="10" t="n">
        <x:f>Raw_Orders!B329</x:f>
        <x:v>45920</x:v>
      </x:c>
      <x:c r="C329" t="str">
        <x:f>Raw_Orders!C329</x:f>
        <x:v>C019</x:v>
      </x:c>
      <x:c r="D329" t="str">
        <x:f>INDEX(Customers!$B$2:$B$81,MATCH(C329,Customers!$A$2:$A$81,0))</x:f>
        <x:v>Customer 19</x:v>
      </x:c>
      <x:c r="E329" t="str">
        <x:f>INDEX(Customers!$C$2:$C$81,MATCH(C329,Customers!$A$2:$A$81,0))</x:f>
        <x:v>Consumer</x:v>
      </x:c>
      <x:c r="F329" t="str">
        <x:f>INDEX(Customers!$D$2:$D$81,MATCH(C329,Customers!$A$2:$A$81,0))</x:f>
        <x:v>East</x:v>
      </x:c>
      <x:c r="G329" t="str">
        <x:f>Raw_Orders!D329</x:f>
        <x:v>P007</x:v>
      </x:c>
      <x:c r="H329" t="str">
        <x:f>INDEX(Products!$B$2:$B$13,MATCH(G329,Products!$A$2:$A$13,0))</x:f>
        <x:v>Ergonomic Chair</x:v>
      </x:c>
      <x:c r="I329" t="str">
        <x:f>INDEX(Products!$C$2:$C$13,MATCH(G329,Products!$A$2:$A$13,0))</x:f>
        <x:v>Office</x:v>
      </x:c>
      <x:c r="J329" t="str">
        <x:f>Raw_Orders!G329</x:f>
        <x:v>Retail</x:v>
      </x:c>
      <x:c r="K329" t="n">
        <x:f>Raw_Orders!E329</x:f>
        <x:v>1</x:v>
      </x:c>
      <x:c r="L329" s="12" t="n">
        <x:f>Raw_Orders!F329</x:f>
        <x:v>0</x:v>
      </x:c>
      <x:c r="M329" s="14" t="n">
        <x:f>INDEX(Products!$D$2:$D$13,MATCH(G329,Products!$A$2:$A$13,0))</x:f>
        <x:v>390</x:v>
      </x:c>
      <x:c r="N329" s="14" t="n">
        <x:f>INDEX(Products!$E$2:$E$13,MATCH(G329,Products!$A$2:$A$13,0))</x:f>
        <x:v>245</x:v>
      </x:c>
      <x:c r="O329" s="14" t="n">
        <x:f>K329*M329</x:f>
        <x:v>390</x:v>
      </x:c>
      <x:c r="P329" s="14" t="n">
        <x:f>O329*(1-L329)</x:f>
        <x:v>390</x:v>
      </x:c>
      <x:c r="Q329" s="14" t="n">
        <x:f>K329*N329</x:f>
        <x:v>245</x:v>
      </x:c>
      <x:c r="R329" s="14" t="n">
        <x:f>P329-Q329</x:f>
        <x:v>145</x:v>
      </x:c>
      <x:c r="S329" s="16" t="n">
        <x:f>IFERROR(R329/P329,0)</x:f>
        <x:v>0.3717948717948718</x:v>
      </x:c>
    </x:row>
    <x:row r="330" ht="15" hidden="0" customHeight="1">
      <x:c r="A330" t="str">
        <x:f>Raw_Orders!A330</x:f>
        <x:v>O0329</x:v>
      </x:c>
      <x:c r="B330" s="10" t="n">
        <x:f>Raw_Orders!B330</x:f>
        <x:v>45836</x:v>
      </x:c>
      <x:c r="C330" t="str">
        <x:f>Raw_Orders!C330</x:f>
        <x:v>C004</x:v>
      </x:c>
      <x:c r="D330" t="str">
        <x:f>INDEX(Customers!$B$2:$B$81,MATCH(C330,Customers!$A$2:$A$81,0))</x:f>
        <x:v>Customer 04</x:v>
      </x:c>
      <x:c r="E330" t="str">
        <x:f>INDEX(Customers!$C$2:$C$81,MATCH(C330,Customers!$A$2:$A$81,0))</x:f>
        <x:v>Consumer</x:v>
      </x:c>
      <x:c r="F330" t="str">
        <x:f>INDEX(Customers!$D$2:$D$81,MATCH(C330,Customers!$A$2:$A$81,0))</x:f>
        <x:v>West</x:v>
      </x:c>
      <x:c r="G330" t="str">
        <x:f>Raw_Orders!D330</x:f>
        <x:v>P007</x:v>
      </x:c>
      <x:c r="H330" t="str">
        <x:f>INDEX(Products!$B$2:$B$13,MATCH(G330,Products!$A$2:$A$13,0))</x:f>
        <x:v>Ergonomic Chair</x:v>
      </x:c>
      <x:c r="I330" t="str">
        <x:f>INDEX(Products!$C$2:$C$13,MATCH(G330,Products!$A$2:$A$13,0))</x:f>
        <x:v>Office</x:v>
      </x:c>
      <x:c r="J330" t="str">
        <x:f>Raw_Orders!G330</x:f>
        <x:v>Partner</x:v>
      </x:c>
      <x:c r="K330" t="n">
        <x:f>Raw_Orders!E330</x:f>
        <x:v>1</x:v>
      </x:c>
      <x:c r="L330" s="12" t="n">
        <x:f>Raw_Orders!F330</x:f>
        <x:v>0.05</x:v>
      </x:c>
      <x:c r="M330" s="14" t="n">
        <x:f>INDEX(Products!$D$2:$D$13,MATCH(G330,Products!$A$2:$A$13,0))</x:f>
        <x:v>390</x:v>
      </x:c>
      <x:c r="N330" s="14" t="n">
        <x:f>INDEX(Products!$E$2:$E$13,MATCH(G330,Products!$A$2:$A$13,0))</x:f>
        <x:v>245</x:v>
      </x:c>
      <x:c r="O330" s="14" t="n">
        <x:f>K330*M330</x:f>
        <x:v>390</x:v>
      </x:c>
      <x:c r="P330" s="14" t="n">
        <x:f>O330*(1-L330)</x:f>
        <x:v>370.5</x:v>
      </x:c>
      <x:c r="Q330" s="14" t="n">
        <x:f>K330*N330</x:f>
        <x:v>245</x:v>
      </x:c>
      <x:c r="R330" s="14" t="n">
        <x:f>P330-Q330</x:f>
        <x:v>125.5</x:v>
      </x:c>
      <x:c r="S330" s="16" t="n">
        <x:f>IFERROR(R330/P330,0)</x:f>
        <x:v>0.33873144399460187</x:v>
      </x:c>
    </x:row>
    <x:row r="331" ht="15" hidden="0" customHeight="1">
      <x:c r="A331" t="str">
        <x:f>Raw_Orders!A331</x:f>
        <x:v>O0330</x:v>
      </x:c>
      <x:c r="B331" s="10" t="n">
        <x:f>Raw_Orders!B331</x:f>
        <x:v>45849</x:v>
      </x:c>
      <x:c r="C331" t="str">
        <x:f>Raw_Orders!C331</x:f>
        <x:v>C031</x:v>
      </x:c>
      <x:c r="D331" t="str">
        <x:f>INDEX(Customers!$B$2:$B$81,MATCH(C331,Customers!$A$2:$A$81,0))</x:f>
        <x:v>Customer 31</x:v>
      </x:c>
      <x:c r="E331" t="str">
        <x:f>INDEX(Customers!$C$2:$C$81,MATCH(C331,Customers!$A$2:$A$81,0))</x:f>
        <x:v>Consumer</x:v>
      </x:c>
      <x:c r="F331" t="str">
        <x:f>INDEX(Customers!$D$2:$D$81,MATCH(C331,Customers!$A$2:$A$81,0))</x:f>
        <x:v>East</x:v>
      </x:c>
      <x:c r="G331" t="str">
        <x:f>Raw_Orders!D331</x:f>
        <x:v>P007</x:v>
      </x:c>
      <x:c r="H331" t="str">
        <x:f>INDEX(Products!$B$2:$B$13,MATCH(G331,Products!$A$2:$A$13,0))</x:f>
        <x:v>Ergonomic Chair</x:v>
      </x:c>
      <x:c r="I331" t="str">
        <x:f>INDEX(Products!$C$2:$C$13,MATCH(G331,Products!$A$2:$A$13,0))</x:f>
        <x:v>Office</x:v>
      </x:c>
      <x:c r="J331" t="str">
        <x:f>Raw_Orders!G331</x:f>
        <x:v>Online</x:v>
      </x:c>
      <x:c r="K331" t="n">
        <x:f>Raw_Orders!E331</x:f>
        <x:v>1</x:v>
      </x:c>
      <x:c r="L331" s="12" t="n">
        <x:f>Raw_Orders!F331</x:f>
        <x:v>0</x:v>
      </x:c>
      <x:c r="M331" s="14" t="n">
        <x:f>INDEX(Products!$D$2:$D$13,MATCH(G331,Products!$A$2:$A$13,0))</x:f>
        <x:v>390</x:v>
      </x:c>
      <x:c r="N331" s="14" t="n">
        <x:f>INDEX(Products!$E$2:$E$13,MATCH(G331,Products!$A$2:$A$13,0))</x:f>
        <x:v>245</x:v>
      </x:c>
      <x:c r="O331" s="14" t="n">
        <x:f>K331*M331</x:f>
        <x:v>390</x:v>
      </x:c>
      <x:c r="P331" s="14" t="n">
        <x:f>O331*(1-L331)</x:f>
        <x:v>390</x:v>
      </x:c>
      <x:c r="Q331" s="14" t="n">
        <x:f>K331*N331</x:f>
        <x:v>245</x:v>
      </x:c>
      <x:c r="R331" s="14" t="n">
        <x:f>P331-Q331</x:f>
        <x:v>145</x:v>
      </x:c>
      <x:c r="S331" s="16" t="n">
        <x:f>IFERROR(R331/P331,0)</x:f>
        <x:v>0.3717948717948718</x:v>
      </x:c>
    </x:row>
    <x:row r="332" ht="15" hidden="0" customHeight="1">
      <x:c r="A332" t="str">
        <x:f>Raw_Orders!A332</x:f>
        <x:v>O0331</x:v>
      </x:c>
      <x:c r="B332" s="10" t="n">
        <x:f>Raw_Orders!B332</x:f>
        <x:v>45672</x:v>
      </x:c>
      <x:c r="C332" t="str">
        <x:f>Raw_Orders!C332</x:f>
        <x:v>C041</x:v>
      </x:c>
      <x:c r="D332" t="str">
        <x:f>INDEX(Customers!$B$2:$B$81,MATCH(C332,Customers!$A$2:$A$81,0))</x:f>
        <x:v>Customer 41</x:v>
      </x:c>
      <x:c r="E332" t="str">
        <x:f>INDEX(Customers!$C$2:$C$81,MATCH(C332,Customers!$A$2:$A$81,0))</x:f>
        <x:v>Corporate</x:v>
      </x:c>
      <x:c r="F332" t="str">
        <x:f>INDEX(Customers!$D$2:$D$81,MATCH(C332,Customers!$A$2:$A$81,0))</x:f>
        <x:v>North</x:v>
      </x:c>
      <x:c r="G332" t="str">
        <x:f>Raw_Orders!D332</x:f>
        <x:v>P002</x:v>
      </x:c>
      <x:c r="H332" t="str">
        <x:f>INDEX(Products!$B$2:$B$13,MATCH(G332,Products!$A$2:$A$13,0))</x:f>
        <x:v>Mechanical Keyboard</x:v>
      </x:c>
      <x:c r="I332" t="str">
        <x:f>INDEX(Products!$C$2:$C$13,MATCH(G332,Products!$A$2:$A$13,0))</x:f>
        <x:v>Accessories</x:v>
      </x:c>
      <x:c r="J332" t="str">
        <x:f>Raw_Orders!G332</x:f>
        <x:v>Retail</x:v>
      </x:c>
      <x:c r="K332" t="n">
        <x:f>Raw_Orders!E332</x:f>
        <x:v>6</x:v>
      </x:c>
      <x:c r="L332" s="12" t="n">
        <x:f>Raw_Orders!F332</x:f>
        <x:v>0.15</x:v>
      </x:c>
      <x:c r="M332" s="14" t="n">
        <x:f>INDEX(Products!$D$2:$D$13,MATCH(G332,Products!$A$2:$A$13,0))</x:f>
        <x:v>110</x:v>
      </x:c>
      <x:c r="N332" s="14" t="n">
        <x:f>INDEX(Products!$E$2:$E$13,MATCH(G332,Products!$A$2:$A$13,0))</x:f>
        <x:v>58</x:v>
      </x:c>
      <x:c r="O332" s="14" t="n">
        <x:f>K332*M332</x:f>
        <x:v>660</x:v>
      </x:c>
      <x:c r="P332" s="14" t="n">
        <x:f>O332*(1-L332)</x:f>
        <x:v>561</x:v>
      </x:c>
      <x:c r="Q332" s="14" t="n">
        <x:f>K332*N332</x:f>
        <x:v>348</x:v>
      </x:c>
      <x:c r="R332" s="14" t="n">
        <x:f>P332-Q332</x:f>
        <x:v>213</x:v>
      </x:c>
      <x:c r="S332" s="16" t="n">
        <x:f>IFERROR(R332/P332,0)</x:f>
        <x:v>0.37967914438502676</x:v>
      </x:c>
    </x:row>
    <x:row r="333" ht="15" hidden="0" customHeight="1">
      <x:c r="A333" t="str">
        <x:f>Raw_Orders!A333</x:f>
        <x:v>O0332</x:v>
      </x:c>
      <x:c r="B333" s="10" t="n">
        <x:f>Raw_Orders!B333</x:f>
        <x:v>45732</x:v>
      </x:c>
      <x:c r="C333" t="str">
        <x:f>Raw_Orders!C333</x:f>
        <x:v>C018</x:v>
      </x:c>
      <x:c r="D333" t="str">
        <x:f>INDEX(Customers!$B$2:$B$81,MATCH(C333,Customers!$A$2:$A$81,0))</x:f>
        <x:v>Customer 18</x:v>
      </x:c>
      <x:c r="E333" t="str">
        <x:f>INDEX(Customers!$C$2:$C$81,MATCH(C333,Customers!$A$2:$A$81,0))</x:f>
        <x:v>Small Business</x:v>
      </x:c>
      <x:c r="F333" t="str">
        <x:f>INDEX(Customers!$D$2:$D$81,MATCH(C333,Customers!$A$2:$A$81,0))</x:f>
        <x:v>South</x:v>
      </x:c>
      <x:c r="G333" t="str">
        <x:f>Raw_Orders!D333</x:f>
        <x:v>P001</x:v>
      </x:c>
      <x:c r="H333" t="str">
        <x:f>INDEX(Products!$B$2:$B$13,MATCH(G333,Products!$A$2:$A$13,0))</x:f>
        <x:v>Wireless Headset</x:v>
      </x:c>
      <x:c r="I333" t="str">
        <x:f>INDEX(Products!$C$2:$C$13,MATCH(G333,Products!$A$2:$A$13,0))</x:f>
        <x:v>Accessories</x:v>
      </x:c>
      <x:c r="J333" t="str">
        <x:f>Raw_Orders!G333</x:f>
        <x:v>Partner</x:v>
      </x:c>
      <x:c r="K333" t="n">
        <x:f>Raw_Orders!E333</x:f>
        <x:v>3</x:v>
      </x:c>
      <x:c r="L333" s="12" t="n">
        <x:f>Raw_Orders!F333</x:f>
        <x:v>0.05</x:v>
      </x:c>
      <x:c r="M333" s="14" t="n">
        <x:f>INDEX(Products!$D$2:$D$13,MATCH(G333,Products!$A$2:$A$13,0))</x:f>
        <x:v>85</x:v>
      </x:c>
      <x:c r="N333" s="14" t="n">
        <x:f>INDEX(Products!$E$2:$E$13,MATCH(G333,Products!$A$2:$A$13,0))</x:f>
        <x:v>42</x:v>
      </x:c>
      <x:c r="O333" s="14" t="n">
        <x:f>K333*M333</x:f>
        <x:v>255</x:v>
      </x:c>
      <x:c r="P333" s="14" t="n">
        <x:f>O333*(1-L333)</x:f>
        <x:v>242.25</x:v>
      </x:c>
      <x:c r="Q333" s="14" t="n">
        <x:f>K333*N333</x:f>
        <x:v>126</x:v>
      </x:c>
      <x:c r="R333" s="14" t="n">
        <x:f>P333-Q333</x:f>
        <x:v>116.25</x:v>
      </x:c>
      <x:c r="S333" s="16" t="n">
        <x:f>IFERROR(R333/P333,0)</x:f>
        <x:v>0.47987616099071206</x:v>
      </x:c>
    </x:row>
    <x:row r="334" ht="15" hidden="0" customHeight="1">
      <x:c r="A334" t="str">
        <x:f>Raw_Orders!A334</x:f>
        <x:v>O0333</x:v>
      </x:c>
      <x:c r="B334" s="10" t="n">
        <x:f>Raw_Orders!B334</x:f>
        <x:v>45729</x:v>
      </x:c>
      <x:c r="C334" t="str">
        <x:f>Raw_Orders!C334</x:f>
        <x:v>C061</x:v>
      </x:c>
      <x:c r="D334" t="str">
        <x:f>INDEX(Customers!$B$2:$B$81,MATCH(C334,Customers!$A$2:$A$81,0))</x:f>
        <x:v>Customer 61</x:v>
      </x:c>
      <x:c r="E334" t="str">
        <x:f>INDEX(Customers!$C$2:$C$81,MATCH(C334,Customers!$A$2:$A$81,0))</x:f>
        <x:v>Consumer</x:v>
      </x:c>
      <x:c r="F334" t="str">
        <x:f>INDEX(Customers!$D$2:$D$81,MATCH(C334,Customers!$A$2:$A$81,0))</x:f>
        <x:v>North</x:v>
      </x:c>
      <x:c r="G334" t="str">
        <x:f>Raw_Orders!D334</x:f>
        <x:v>P008</x:v>
      </x:c>
      <x:c r="H334" t="str">
        <x:f>INDEX(Products!$B$2:$B$13,MATCH(G334,Products!$A$2:$A$13,0))</x:f>
        <x:v>Webcam</x:v>
      </x:c>
      <x:c r="I334" t="str">
        <x:f>INDEX(Products!$C$2:$C$13,MATCH(G334,Products!$A$2:$A$13,0))</x:f>
        <x:v>Accessories</x:v>
      </x:c>
      <x:c r="J334" t="str">
        <x:f>Raw_Orders!G334</x:f>
        <x:v>Online</x:v>
      </x:c>
      <x:c r="K334" t="n">
        <x:f>Raw_Orders!E334</x:f>
        <x:v>5</x:v>
      </x:c>
      <x:c r="L334" s="12" t="n">
        <x:f>Raw_Orders!F334</x:f>
        <x:v>0</x:v>
      </x:c>
      <x:c r="M334" s="14" t="n">
        <x:f>INDEX(Products!$D$2:$D$13,MATCH(G334,Products!$A$2:$A$13,0))</x:f>
        <x:v>95</x:v>
      </x:c>
      <x:c r="N334" s="14" t="n">
        <x:f>INDEX(Products!$E$2:$E$13,MATCH(G334,Products!$A$2:$A$13,0))</x:f>
        <x:v>49</x:v>
      </x:c>
      <x:c r="O334" s="14" t="n">
        <x:f>K334*M334</x:f>
        <x:v>475</x:v>
      </x:c>
      <x:c r="P334" s="14" t="n">
        <x:f>O334*(1-L334)</x:f>
        <x:v>475</x:v>
      </x:c>
      <x:c r="Q334" s="14" t="n">
        <x:f>K334*N334</x:f>
        <x:v>245</x:v>
      </x:c>
      <x:c r="R334" s="14" t="n">
        <x:f>P334-Q334</x:f>
        <x:v>230</x:v>
      </x:c>
      <x:c r="S334" s="16" t="n">
        <x:f>IFERROR(R334/P334,0)</x:f>
        <x:v>0.4842105263157895</x:v>
      </x:c>
    </x:row>
    <x:row r="335" ht="15" hidden="0" customHeight="1">
      <x:c r="A335" t="str">
        <x:f>Raw_Orders!A335</x:f>
        <x:v>O0334</x:v>
      </x:c>
      <x:c r="B335" s="10" t="n">
        <x:f>Raw_Orders!B335</x:f>
        <x:v>45667</x:v>
      </x:c>
      <x:c r="C335" t="str">
        <x:f>Raw_Orders!C335</x:f>
        <x:v>C033</x:v>
      </x:c>
      <x:c r="D335" t="str">
        <x:f>INDEX(Customers!$B$2:$B$81,MATCH(C335,Customers!$A$2:$A$81,0))</x:f>
        <x:v>Customer 33</x:v>
      </x:c>
      <x:c r="E335" t="str">
        <x:f>INDEX(Customers!$C$2:$C$81,MATCH(C335,Customers!$A$2:$A$81,0))</x:f>
        <x:v>Small Business</x:v>
      </x:c>
      <x:c r="F335" t="str">
        <x:f>INDEX(Customers!$D$2:$D$81,MATCH(C335,Customers!$A$2:$A$81,0))</x:f>
        <x:v>North</x:v>
      </x:c>
      <x:c r="G335" t="str">
        <x:f>Raw_Orders!D335</x:f>
        <x:v>P004</x:v>
      </x:c>
      <x:c r="H335" t="str">
        <x:f>INDEX(Products!$B$2:$B$13,MATCH(G335,Products!$A$2:$A$13,0))</x:f>
        <x:v>24in Monitor</x:v>
      </x:c>
      <x:c r="I335" t="str">
        <x:f>INDEX(Products!$C$2:$C$13,MATCH(G335,Products!$A$2:$A$13,0))</x:f>
        <x:v>Displays</x:v>
      </x:c>
      <x:c r="J335" t="str">
        <x:f>Raw_Orders!G335</x:f>
        <x:v>Partner</x:v>
      </x:c>
      <x:c r="K335" t="n">
        <x:f>Raw_Orders!E335</x:f>
        <x:v>2</x:v>
      </x:c>
      <x:c r="L335" s="12" t="n">
        <x:f>Raw_Orders!F335</x:f>
        <x:v>0.1</x:v>
      </x:c>
      <x:c r="M335" s="14" t="n">
        <x:f>INDEX(Products!$D$2:$D$13,MATCH(G335,Products!$A$2:$A$13,0))</x:f>
        <x:v>220</x:v>
      </x:c>
      <x:c r="N335" s="14" t="n">
        <x:f>INDEX(Products!$E$2:$E$13,MATCH(G335,Products!$A$2:$A$13,0))</x:f>
        <x:v>142</x:v>
      </x:c>
      <x:c r="O335" s="14" t="n">
        <x:f>K335*M335</x:f>
        <x:v>440</x:v>
      </x:c>
      <x:c r="P335" s="14" t="n">
        <x:f>O335*(1-L335)</x:f>
        <x:v>396</x:v>
      </x:c>
      <x:c r="Q335" s="14" t="n">
        <x:f>K335*N335</x:f>
        <x:v>284</x:v>
      </x:c>
      <x:c r="R335" s="14" t="n">
        <x:f>P335-Q335</x:f>
        <x:v>112</x:v>
      </x:c>
      <x:c r="S335" s="16" t="n">
        <x:f>IFERROR(R335/P335,0)</x:f>
        <x:v>0.2828282828282828</x:v>
      </x:c>
    </x:row>
    <x:row r="336" ht="15" hidden="0" customHeight="1">
      <x:c r="A336" t="str">
        <x:f>Raw_Orders!A336</x:f>
        <x:v>O0335</x:v>
      </x:c>
      <x:c r="B336" s="10" t="n">
        <x:f>Raw_Orders!B336</x:f>
        <x:v>45969</x:v>
      </x:c>
      <x:c r="C336" t="str">
        <x:f>Raw_Orders!C336</x:f>
        <x:v>C068</x:v>
      </x:c>
      <x:c r="D336" t="str">
        <x:f>INDEX(Customers!$B$2:$B$81,MATCH(C336,Customers!$A$2:$A$81,0))</x:f>
        <x:v>Customer 68</x:v>
      </x:c>
      <x:c r="E336" t="str">
        <x:f>INDEX(Customers!$C$2:$C$81,MATCH(C336,Customers!$A$2:$A$81,0))</x:f>
        <x:v>Corporate</x:v>
      </x:c>
      <x:c r="F336" t="str">
        <x:f>INDEX(Customers!$D$2:$D$81,MATCH(C336,Customers!$A$2:$A$81,0))</x:f>
        <x:v>West</x:v>
      </x:c>
      <x:c r="G336" t="str">
        <x:f>Raw_Orders!D336</x:f>
        <x:v>P007</x:v>
      </x:c>
      <x:c r="H336" t="str">
        <x:f>INDEX(Products!$B$2:$B$13,MATCH(G336,Products!$A$2:$A$13,0))</x:f>
        <x:v>Ergonomic Chair</x:v>
      </x:c>
      <x:c r="I336" t="str">
        <x:f>INDEX(Products!$C$2:$C$13,MATCH(G336,Products!$A$2:$A$13,0))</x:f>
        <x:v>Office</x:v>
      </x:c>
      <x:c r="J336" t="str">
        <x:f>Raw_Orders!G336</x:f>
        <x:v>Online</x:v>
      </x:c>
      <x:c r="K336" t="n">
        <x:f>Raw_Orders!E336</x:f>
        <x:v>1</x:v>
      </x:c>
      <x:c r="L336" s="12" t="n">
        <x:f>Raw_Orders!F336</x:f>
        <x:v>0</x:v>
      </x:c>
      <x:c r="M336" s="14" t="n">
        <x:f>INDEX(Products!$D$2:$D$13,MATCH(G336,Products!$A$2:$A$13,0))</x:f>
        <x:v>390</x:v>
      </x:c>
      <x:c r="N336" s="14" t="n">
        <x:f>INDEX(Products!$E$2:$E$13,MATCH(G336,Products!$A$2:$A$13,0))</x:f>
        <x:v>245</x:v>
      </x:c>
      <x:c r="O336" s="14" t="n">
        <x:f>K336*M336</x:f>
        <x:v>390</x:v>
      </x:c>
      <x:c r="P336" s="14" t="n">
        <x:f>O336*(1-L336)</x:f>
        <x:v>390</x:v>
      </x:c>
      <x:c r="Q336" s="14" t="n">
        <x:f>K336*N336</x:f>
        <x:v>245</x:v>
      </x:c>
      <x:c r="R336" s="14" t="n">
        <x:f>P336-Q336</x:f>
        <x:v>145</x:v>
      </x:c>
      <x:c r="S336" s="16" t="n">
        <x:f>IFERROR(R336/P336,0)</x:f>
        <x:v>0.3717948717948718</x:v>
      </x:c>
    </x:row>
    <x:row r="337" ht="15" hidden="0" customHeight="1">
      <x:c r="A337" t="str">
        <x:f>Raw_Orders!A337</x:f>
        <x:v>O0336</x:v>
      </x:c>
      <x:c r="B337" s="10" t="n">
        <x:f>Raw_Orders!B337</x:f>
        <x:v>45812</x:v>
      </x:c>
      <x:c r="C337" t="str">
        <x:f>Raw_Orders!C337</x:f>
        <x:v>C016</x:v>
      </x:c>
      <x:c r="D337" t="str">
        <x:f>INDEX(Customers!$B$2:$B$81,MATCH(C337,Customers!$A$2:$A$81,0))</x:f>
        <x:v>Customer 16</x:v>
      </x:c>
      <x:c r="E337" t="str">
        <x:f>INDEX(Customers!$C$2:$C$81,MATCH(C337,Customers!$A$2:$A$81,0))</x:f>
        <x:v>Consumer</x:v>
      </x:c>
      <x:c r="F337" t="str">
        <x:f>INDEX(Customers!$D$2:$D$81,MATCH(C337,Customers!$A$2:$A$81,0))</x:f>
        <x:v>West</x:v>
      </x:c>
      <x:c r="G337" t="str">
        <x:f>Raw_Orders!D337</x:f>
        <x:v>P001</x:v>
      </x:c>
      <x:c r="H337" t="str">
        <x:f>INDEX(Products!$B$2:$B$13,MATCH(G337,Products!$A$2:$A$13,0))</x:f>
        <x:v>Wireless Headset</x:v>
      </x:c>
      <x:c r="I337" t="str">
        <x:f>INDEX(Products!$C$2:$C$13,MATCH(G337,Products!$A$2:$A$13,0))</x:f>
        <x:v>Accessories</x:v>
      </x:c>
      <x:c r="J337" t="str">
        <x:f>Raw_Orders!G337</x:f>
        <x:v>Partner</x:v>
      </x:c>
      <x:c r="K337" t="n">
        <x:f>Raw_Orders!E337</x:f>
        <x:v>2</x:v>
      </x:c>
      <x:c r="L337" s="12" t="n">
        <x:f>Raw_Orders!F337</x:f>
        <x:v>0.05</x:v>
      </x:c>
      <x:c r="M337" s="14" t="n">
        <x:f>INDEX(Products!$D$2:$D$13,MATCH(G337,Products!$A$2:$A$13,0))</x:f>
        <x:v>85</x:v>
      </x:c>
      <x:c r="N337" s="14" t="n">
        <x:f>INDEX(Products!$E$2:$E$13,MATCH(G337,Products!$A$2:$A$13,0))</x:f>
        <x:v>42</x:v>
      </x:c>
      <x:c r="O337" s="14" t="n">
        <x:f>K337*M337</x:f>
        <x:v>170</x:v>
      </x:c>
      <x:c r="P337" s="14" t="n">
        <x:f>O337*(1-L337)</x:f>
        <x:v>161.5</x:v>
      </x:c>
      <x:c r="Q337" s="14" t="n">
        <x:f>K337*N337</x:f>
        <x:v>84</x:v>
      </x:c>
      <x:c r="R337" s="14" t="n">
        <x:f>P337-Q337</x:f>
        <x:v>77.5</x:v>
      </x:c>
      <x:c r="S337" s="16" t="n">
        <x:f>IFERROR(R337/P337,0)</x:f>
        <x:v>0.47987616099071206</x:v>
      </x:c>
    </x:row>
    <x:row r="338" ht="15" hidden="0" customHeight="1">
      <x:c r="A338" t="str">
        <x:f>Raw_Orders!A338</x:f>
        <x:v>O0337</x:v>
      </x:c>
      <x:c r="B338" s="10" t="n">
        <x:f>Raw_Orders!B338</x:f>
        <x:v>45976</x:v>
      </x:c>
      <x:c r="C338" t="str">
        <x:f>Raw_Orders!C338</x:f>
        <x:v>C059</x:v>
      </x:c>
      <x:c r="D338" t="str">
        <x:f>INDEX(Customers!$B$2:$B$81,MATCH(C338,Customers!$A$2:$A$81,0))</x:f>
        <x:v>Customer 59</x:v>
      </x:c>
      <x:c r="E338" t="str">
        <x:f>INDEX(Customers!$C$2:$C$81,MATCH(C338,Customers!$A$2:$A$81,0))</x:f>
        <x:v>Corporate</x:v>
      </x:c>
      <x:c r="F338" t="str">
        <x:f>INDEX(Customers!$D$2:$D$81,MATCH(C338,Customers!$A$2:$A$81,0))</x:f>
        <x:v>East</x:v>
      </x:c>
      <x:c r="G338" t="str">
        <x:f>Raw_Orders!D338</x:f>
        <x:v>P002</x:v>
      </x:c>
      <x:c r="H338" t="str">
        <x:f>INDEX(Products!$B$2:$B$13,MATCH(G338,Products!$A$2:$A$13,0))</x:f>
        <x:v>Mechanical Keyboard</x:v>
      </x:c>
      <x:c r="I338" t="str">
        <x:f>INDEX(Products!$C$2:$C$13,MATCH(G338,Products!$A$2:$A$13,0))</x:f>
        <x:v>Accessories</x:v>
      </x:c>
      <x:c r="J338" t="str">
        <x:f>Raw_Orders!G338</x:f>
        <x:v>Partner</x:v>
      </x:c>
      <x:c r="K338" t="n">
        <x:f>Raw_Orders!E338</x:f>
        <x:v>1</x:v>
      </x:c>
      <x:c r="L338" s="12" t="n">
        <x:f>Raw_Orders!F338</x:f>
        <x:v>0.05</x:v>
      </x:c>
      <x:c r="M338" s="14" t="n">
        <x:f>INDEX(Products!$D$2:$D$13,MATCH(G338,Products!$A$2:$A$13,0))</x:f>
        <x:v>110</x:v>
      </x:c>
      <x:c r="N338" s="14" t="n">
        <x:f>INDEX(Products!$E$2:$E$13,MATCH(G338,Products!$A$2:$A$13,0))</x:f>
        <x:v>58</x:v>
      </x:c>
      <x:c r="O338" s="14" t="n">
        <x:f>K338*M338</x:f>
        <x:v>110</x:v>
      </x:c>
      <x:c r="P338" s="14" t="n">
        <x:f>O338*(1-L338)</x:f>
        <x:v>104.5</x:v>
      </x:c>
      <x:c r="Q338" s="14" t="n">
        <x:f>K338*N338</x:f>
        <x:v>58</x:v>
      </x:c>
      <x:c r="R338" s="14" t="n">
        <x:f>P338-Q338</x:f>
        <x:v>46.5</x:v>
      </x:c>
      <x:c r="S338" s="16" t="n">
        <x:f>IFERROR(R338/P338,0)</x:f>
        <x:v>0.4449760765550239</x:v>
      </x:c>
    </x:row>
    <x:row r="339" ht="15" hidden="0" customHeight="1">
      <x:c r="A339" t="str">
        <x:f>Raw_Orders!A339</x:f>
        <x:v>O0338</x:v>
      </x:c>
      <x:c r="B339" s="10" t="n">
        <x:f>Raw_Orders!B339</x:f>
        <x:v>45932</x:v>
      </x:c>
      <x:c r="C339" t="str">
        <x:f>Raw_Orders!C339</x:f>
        <x:v>C003</x:v>
      </x:c>
      <x:c r="D339" t="str">
        <x:f>INDEX(Customers!$B$2:$B$81,MATCH(C339,Customers!$A$2:$A$81,0))</x:f>
        <x:v>Customer 03</x:v>
      </x:c>
      <x:c r="E339" t="str">
        <x:f>INDEX(Customers!$C$2:$C$81,MATCH(C339,Customers!$A$2:$A$81,0))</x:f>
        <x:v>Small Business</x:v>
      </x:c>
      <x:c r="F339" t="str">
        <x:f>INDEX(Customers!$D$2:$D$81,MATCH(C339,Customers!$A$2:$A$81,0))</x:f>
        <x:v>East</x:v>
      </x:c>
      <x:c r="G339" t="str">
        <x:f>Raw_Orders!D339</x:f>
        <x:v>P011</x:v>
      </x:c>
      <x:c r="H339" t="str">
        <x:f>INDEX(Products!$B$2:$B$13,MATCH(G339,Products!$A$2:$A$13,0))</x:f>
        <x:v>External HDD</x:v>
      </x:c>
      <x:c r="I339" t="str">
        <x:f>INDEX(Products!$C$2:$C$13,MATCH(G339,Products!$A$2:$A$13,0))</x:f>
        <x:v>Storage</x:v>
      </x:c>
      <x:c r="J339" t="str">
        <x:f>Raw_Orders!G339</x:f>
        <x:v>Online</x:v>
      </x:c>
      <x:c r="K339" t="n">
        <x:f>Raw_Orders!E339</x:f>
        <x:v>5</x:v>
      </x:c>
      <x:c r="L339" s="12" t="n">
        <x:f>Raw_Orders!F339</x:f>
        <x:v>0.1</x:v>
      </x:c>
      <x:c r="M339" s="14" t="n">
        <x:f>INDEX(Products!$D$2:$D$13,MATCH(G339,Products!$A$2:$A$13,0))</x:f>
        <x:v>120</x:v>
      </x:c>
      <x:c r="N339" s="14" t="n">
        <x:f>INDEX(Products!$E$2:$E$13,MATCH(G339,Products!$A$2:$A$13,0))</x:f>
        <x:v>72</x:v>
      </x:c>
      <x:c r="O339" s="14" t="n">
        <x:f>K339*M339</x:f>
        <x:v>600</x:v>
      </x:c>
      <x:c r="P339" s="14" t="n">
        <x:f>O339*(1-L339)</x:f>
        <x:v>540</x:v>
      </x:c>
      <x:c r="Q339" s="14" t="n">
        <x:f>K339*N339</x:f>
        <x:v>360</x:v>
      </x:c>
      <x:c r="R339" s="14" t="n">
        <x:f>P339-Q339</x:f>
        <x:v>180</x:v>
      </x:c>
      <x:c r="S339" s="16" t="n">
        <x:f>IFERROR(R339/P339,0)</x:f>
        <x:v>0.3333333333333333</x:v>
      </x:c>
    </x:row>
    <x:row r="340" ht="15" hidden="0" customHeight="1">
      <x:c r="A340" t="str">
        <x:f>Raw_Orders!A340</x:f>
        <x:v>O0339</x:v>
      </x:c>
      <x:c r="B340" s="10" t="n">
        <x:f>Raw_Orders!B340</x:f>
        <x:v>45731</x:v>
      </x:c>
      <x:c r="C340" t="str">
        <x:f>Raw_Orders!C340</x:f>
        <x:v>C038</x:v>
      </x:c>
      <x:c r="D340" t="str">
        <x:f>INDEX(Customers!$B$2:$B$81,MATCH(C340,Customers!$A$2:$A$81,0))</x:f>
        <x:v>Customer 38</x:v>
      </x:c>
      <x:c r="E340" t="str">
        <x:f>INDEX(Customers!$C$2:$C$81,MATCH(C340,Customers!$A$2:$A$81,0))</x:f>
        <x:v>Corporate</x:v>
      </x:c>
      <x:c r="F340" t="str">
        <x:f>INDEX(Customers!$D$2:$D$81,MATCH(C340,Customers!$A$2:$A$81,0))</x:f>
        <x:v>South</x:v>
      </x:c>
      <x:c r="G340" t="str">
        <x:f>Raw_Orders!D340</x:f>
        <x:v>P007</x:v>
      </x:c>
      <x:c r="H340" t="str">
        <x:f>INDEX(Products!$B$2:$B$13,MATCH(G340,Products!$A$2:$A$13,0))</x:f>
        <x:v>Ergonomic Chair</x:v>
      </x:c>
      <x:c r="I340" t="str">
        <x:f>INDEX(Products!$C$2:$C$13,MATCH(G340,Products!$A$2:$A$13,0))</x:f>
        <x:v>Office</x:v>
      </x:c>
      <x:c r="J340" t="str">
        <x:f>Raw_Orders!G340</x:f>
        <x:v>Retail</x:v>
      </x:c>
      <x:c r="K340" t="n">
        <x:f>Raw_Orders!E340</x:f>
        <x:v>1</x:v>
      </x:c>
      <x:c r="L340" s="12" t="n">
        <x:f>Raw_Orders!F340</x:f>
        <x:v>0.1</x:v>
      </x:c>
      <x:c r="M340" s="14" t="n">
        <x:f>INDEX(Products!$D$2:$D$13,MATCH(G340,Products!$A$2:$A$13,0))</x:f>
        <x:v>390</x:v>
      </x:c>
      <x:c r="N340" s="14" t="n">
        <x:f>INDEX(Products!$E$2:$E$13,MATCH(G340,Products!$A$2:$A$13,0))</x:f>
        <x:v>245</x:v>
      </x:c>
      <x:c r="O340" s="14" t="n">
        <x:f>K340*M340</x:f>
        <x:v>390</x:v>
      </x:c>
      <x:c r="P340" s="14" t="n">
        <x:f>O340*(1-L340)</x:f>
        <x:v>351</x:v>
      </x:c>
      <x:c r="Q340" s="14" t="n">
        <x:f>K340*N340</x:f>
        <x:v>245</x:v>
      </x:c>
      <x:c r="R340" s="14" t="n">
        <x:f>P340-Q340</x:f>
        <x:v>106</x:v>
      </x:c>
      <x:c r="S340" s="16" t="n">
        <x:f>IFERROR(R340/P340,0)</x:f>
        <x:v>0.301994301994302</x:v>
      </x:c>
    </x:row>
    <x:row r="341" ht="15" hidden="0" customHeight="1">
      <x:c r="A341" t="str">
        <x:f>Raw_Orders!A341</x:f>
        <x:v>O0340</x:v>
      </x:c>
      <x:c r="B341" s="10" t="n">
        <x:f>Raw_Orders!B341</x:f>
        <x:v>45781</x:v>
      </x:c>
      <x:c r="C341" t="str">
        <x:f>Raw_Orders!C341</x:f>
        <x:v>C074</x:v>
      </x:c>
      <x:c r="D341" t="str">
        <x:f>INDEX(Customers!$B$2:$B$81,MATCH(C341,Customers!$A$2:$A$81,0))</x:f>
        <x:v>Customer 74</x:v>
      </x:c>
      <x:c r="E341" t="str">
        <x:f>INDEX(Customers!$C$2:$C$81,MATCH(C341,Customers!$A$2:$A$81,0))</x:f>
        <x:v>Corporate</x:v>
      </x:c>
      <x:c r="F341" t="str">
        <x:f>INDEX(Customers!$D$2:$D$81,MATCH(C341,Customers!$A$2:$A$81,0))</x:f>
        <x:v>South</x:v>
      </x:c>
      <x:c r="G341" t="str">
        <x:f>Raw_Orders!D341</x:f>
        <x:v>P007</x:v>
      </x:c>
      <x:c r="H341" t="str">
        <x:f>INDEX(Products!$B$2:$B$13,MATCH(G341,Products!$A$2:$A$13,0))</x:f>
        <x:v>Ergonomic Chair</x:v>
      </x:c>
      <x:c r="I341" t="str">
        <x:f>INDEX(Products!$C$2:$C$13,MATCH(G341,Products!$A$2:$A$13,0))</x:f>
        <x:v>Office</x:v>
      </x:c>
      <x:c r="J341" t="str">
        <x:f>Raw_Orders!G341</x:f>
        <x:v>Partner</x:v>
      </x:c>
      <x:c r="K341" t="n">
        <x:f>Raw_Orders!E341</x:f>
        <x:v>2</x:v>
      </x:c>
      <x:c r="L341" s="12" t="n">
        <x:f>Raw_Orders!F341</x:f>
        <x:v>0.15</x:v>
      </x:c>
      <x:c r="M341" s="14" t="n">
        <x:f>INDEX(Products!$D$2:$D$13,MATCH(G341,Products!$A$2:$A$13,0))</x:f>
        <x:v>390</x:v>
      </x:c>
      <x:c r="N341" s="14" t="n">
        <x:f>INDEX(Products!$E$2:$E$13,MATCH(G341,Products!$A$2:$A$13,0))</x:f>
        <x:v>245</x:v>
      </x:c>
      <x:c r="O341" s="14" t="n">
        <x:f>K341*M341</x:f>
        <x:v>780</x:v>
      </x:c>
      <x:c r="P341" s="14" t="n">
        <x:f>O341*(1-L341)</x:f>
        <x:v>663</x:v>
      </x:c>
      <x:c r="Q341" s="14" t="n">
        <x:f>K341*N341</x:f>
        <x:v>490</x:v>
      </x:c>
      <x:c r="R341" s="14" t="n">
        <x:f>P341-Q341</x:f>
        <x:v>173</x:v>
      </x:c>
      <x:c r="S341" s="16" t="n">
        <x:f>IFERROR(R341/P341,0)</x:f>
        <x:v>0.2609351432880845</x:v>
      </x:c>
    </x:row>
    <x:row r="342" ht="15" hidden="0" customHeight="1">
      <x:c r="A342" t="str">
        <x:f>Raw_Orders!A342</x:f>
        <x:v>O0341</x:v>
      </x:c>
      <x:c r="B342" s="10" t="n">
        <x:f>Raw_Orders!B342</x:f>
        <x:v>45701</x:v>
      </x:c>
      <x:c r="C342" t="str">
        <x:f>Raw_Orders!C342</x:f>
        <x:v>C068</x:v>
      </x:c>
      <x:c r="D342" t="str">
        <x:f>INDEX(Customers!$B$2:$B$81,MATCH(C342,Customers!$A$2:$A$81,0))</x:f>
        <x:v>Customer 68</x:v>
      </x:c>
      <x:c r="E342" t="str">
        <x:f>INDEX(Customers!$C$2:$C$81,MATCH(C342,Customers!$A$2:$A$81,0))</x:f>
        <x:v>Corporate</x:v>
      </x:c>
      <x:c r="F342" t="str">
        <x:f>INDEX(Customers!$D$2:$D$81,MATCH(C342,Customers!$A$2:$A$81,0))</x:f>
        <x:v>West</x:v>
      </x:c>
      <x:c r="G342" t="str">
        <x:f>Raw_Orders!D342</x:f>
        <x:v>P006</x:v>
      </x:c>
      <x:c r="H342" t="str">
        <x:f>INDEX(Products!$B$2:$B$13,MATCH(G342,Products!$A$2:$A$13,0))</x:f>
        <x:v>Laptop Stand</x:v>
      </x:c>
      <x:c r="I342" t="str">
        <x:f>INDEX(Products!$C$2:$C$13,MATCH(G342,Products!$A$2:$A$13,0))</x:f>
        <x:v>Office</x:v>
      </x:c>
      <x:c r="J342" t="str">
        <x:f>Raw_Orders!G342</x:f>
        <x:v>Partner</x:v>
      </x:c>
      <x:c r="K342" t="n">
        <x:f>Raw_Orders!E342</x:f>
        <x:v>1</x:v>
      </x:c>
      <x:c r="L342" s="12" t="n">
        <x:f>Raw_Orders!F342</x:f>
        <x:v>0.1</x:v>
      </x:c>
      <x:c r="M342" s="14" t="n">
        <x:f>INDEX(Products!$D$2:$D$13,MATCH(G342,Products!$A$2:$A$13,0))</x:f>
        <x:v>55</x:v>
      </x:c>
      <x:c r="N342" s="14" t="n">
        <x:f>INDEX(Products!$E$2:$E$13,MATCH(G342,Products!$A$2:$A$13,0))</x:f>
        <x:v>24</x:v>
      </x:c>
      <x:c r="O342" s="14" t="n">
        <x:f>K342*M342</x:f>
        <x:v>55</x:v>
      </x:c>
      <x:c r="P342" s="14" t="n">
        <x:f>O342*(1-L342)</x:f>
        <x:v>49.5</x:v>
      </x:c>
      <x:c r="Q342" s="14" t="n">
        <x:f>K342*N342</x:f>
        <x:v>24</x:v>
      </x:c>
      <x:c r="R342" s="14" t="n">
        <x:f>P342-Q342</x:f>
        <x:v>25.5</x:v>
      </x:c>
      <x:c r="S342" s="16" t="n">
        <x:f>IFERROR(R342/P342,0)</x:f>
        <x:v>0.5151515151515151</x:v>
      </x:c>
    </x:row>
    <x:row r="343" ht="15" hidden="0" customHeight="1">
      <x:c r="A343" t="str">
        <x:f>Raw_Orders!A343</x:f>
        <x:v>O0342</x:v>
      </x:c>
      <x:c r="B343" s="10" t="n">
        <x:f>Raw_Orders!B343</x:f>
        <x:v>45917</x:v>
      </x:c>
      <x:c r="C343" t="str">
        <x:f>Raw_Orders!C343</x:f>
        <x:v>C065</x:v>
      </x:c>
      <x:c r="D343" t="str">
        <x:f>INDEX(Customers!$B$2:$B$81,MATCH(C343,Customers!$A$2:$A$81,0))</x:f>
        <x:v>Customer 65</x:v>
      </x:c>
      <x:c r="E343" t="str">
        <x:f>INDEX(Customers!$C$2:$C$81,MATCH(C343,Customers!$A$2:$A$81,0))</x:f>
        <x:v>Corporate</x:v>
      </x:c>
      <x:c r="F343" t="str">
        <x:f>INDEX(Customers!$D$2:$D$81,MATCH(C343,Customers!$A$2:$A$81,0))</x:f>
        <x:v>North</x:v>
      </x:c>
      <x:c r="G343" t="str">
        <x:f>Raw_Orders!D343</x:f>
        <x:v>P009</x:v>
      </x:c>
      <x:c r="H343" t="str">
        <x:f>INDEX(Products!$B$2:$B$13,MATCH(G343,Products!$A$2:$A$13,0))</x:f>
        <x:v>Desk Lamp</x:v>
      </x:c>
      <x:c r="I343" t="str">
        <x:f>INDEX(Products!$C$2:$C$13,MATCH(G343,Products!$A$2:$A$13,0))</x:f>
        <x:v>Office</x:v>
      </x:c>
      <x:c r="J343" t="str">
        <x:f>Raw_Orders!G343</x:f>
        <x:v>Retail</x:v>
      </x:c>
      <x:c r="K343" t="n">
        <x:f>Raw_Orders!E343</x:f>
        <x:v>1</x:v>
      </x:c>
      <x:c r="L343" s="12" t="n">
        <x:f>Raw_Orders!F343</x:f>
        <x:v>0.05</x:v>
      </x:c>
      <x:c r="M343" s="14" t="n">
        <x:f>INDEX(Products!$D$2:$D$13,MATCH(G343,Products!$A$2:$A$13,0))</x:f>
        <x:v>70</x:v>
      </x:c>
      <x:c r="N343" s="14" t="n">
        <x:f>INDEX(Products!$E$2:$E$13,MATCH(G343,Products!$A$2:$A$13,0))</x:f>
        <x:v>29</x:v>
      </x:c>
      <x:c r="O343" s="14" t="n">
        <x:f>K343*M343</x:f>
        <x:v>70</x:v>
      </x:c>
      <x:c r="P343" s="14" t="n">
        <x:f>O343*(1-L343)</x:f>
        <x:v>66.5</x:v>
      </x:c>
      <x:c r="Q343" s="14" t="n">
        <x:f>K343*N343</x:f>
        <x:v>29</x:v>
      </x:c>
      <x:c r="R343" s="14" t="n">
        <x:f>P343-Q343</x:f>
        <x:v>37.5</x:v>
      </x:c>
      <x:c r="S343" s="16" t="n">
        <x:f>IFERROR(R343/P343,0)</x:f>
        <x:v>0.5639097744360902</x:v>
      </x:c>
    </x:row>
    <x:row r="344" ht="15" hidden="0" customHeight="1">
      <x:c r="A344" t="str">
        <x:f>Raw_Orders!A344</x:f>
        <x:v>O0343</x:v>
      </x:c>
      <x:c r="B344" s="10" t="n">
        <x:f>Raw_Orders!B344</x:f>
        <x:v>45680</x:v>
      </x:c>
      <x:c r="C344" t="str">
        <x:f>Raw_Orders!C344</x:f>
        <x:v>C050</x:v>
      </x:c>
      <x:c r="D344" t="str">
        <x:f>INDEX(Customers!$B$2:$B$81,MATCH(C344,Customers!$A$2:$A$81,0))</x:f>
        <x:v>Customer 50</x:v>
      </x:c>
      <x:c r="E344" t="str">
        <x:f>INDEX(Customers!$C$2:$C$81,MATCH(C344,Customers!$A$2:$A$81,0))</x:f>
        <x:v>Corporate</x:v>
      </x:c>
      <x:c r="F344" t="str">
        <x:f>INDEX(Customers!$D$2:$D$81,MATCH(C344,Customers!$A$2:$A$81,0))</x:f>
        <x:v>South</x:v>
      </x:c>
      <x:c r="G344" t="str">
        <x:f>Raw_Orders!D344</x:f>
        <x:v>P006</x:v>
      </x:c>
      <x:c r="H344" t="str">
        <x:f>INDEX(Products!$B$2:$B$13,MATCH(G344,Products!$A$2:$A$13,0))</x:f>
        <x:v>Laptop Stand</x:v>
      </x:c>
      <x:c r="I344" t="str">
        <x:f>INDEX(Products!$C$2:$C$13,MATCH(G344,Products!$A$2:$A$13,0))</x:f>
        <x:v>Office</x:v>
      </x:c>
      <x:c r="J344" t="str">
        <x:f>Raw_Orders!G344</x:f>
        <x:v>Online</x:v>
      </x:c>
      <x:c r="K344" t="n">
        <x:f>Raw_Orders!E344</x:f>
        <x:v>3</x:v>
      </x:c>
      <x:c r="L344" s="12" t="n">
        <x:f>Raw_Orders!F344</x:f>
        <x:v>0.15</x:v>
      </x:c>
      <x:c r="M344" s="14" t="n">
        <x:f>INDEX(Products!$D$2:$D$13,MATCH(G344,Products!$A$2:$A$13,0))</x:f>
        <x:v>55</x:v>
      </x:c>
      <x:c r="N344" s="14" t="n">
        <x:f>INDEX(Products!$E$2:$E$13,MATCH(G344,Products!$A$2:$A$13,0))</x:f>
        <x:v>24</x:v>
      </x:c>
      <x:c r="O344" s="14" t="n">
        <x:f>K344*M344</x:f>
        <x:v>165</x:v>
      </x:c>
      <x:c r="P344" s="14" t="n">
        <x:f>O344*(1-L344)</x:f>
        <x:v>140.25</x:v>
      </x:c>
      <x:c r="Q344" s="14" t="n">
        <x:f>K344*N344</x:f>
        <x:v>72</x:v>
      </x:c>
      <x:c r="R344" s="14" t="n">
        <x:f>P344-Q344</x:f>
        <x:v>68.25</x:v>
      </x:c>
      <x:c r="S344" s="16" t="n">
        <x:f>IFERROR(R344/P344,0)</x:f>
        <x:v>0.48663101604278075</x:v>
      </x:c>
    </x:row>
    <x:row r="345" ht="15" hidden="0" customHeight="1">
      <x:c r="A345" t="str">
        <x:f>Raw_Orders!A345</x:f>
        <x:v>O0344</x:v>
      </x:c>
      <x:c r="B345" s="10" t="n">
        <x:f>Raw_Orders!B345</x:f>
        <x:v>45840</x:v>
      </x:c>
      <x:c r="C345" t="str">
        <x:f>Raw_Orders!C345</x:f>
        <x:v>C009</x:v>
      </x:c>
      <x:c r="D345" t="str">
        <x:f>INDEX(Customers!$B$2:$B$81,MATCH(C345,Customers!$A$2:$A$81,0))</x:f>
        <x:v>Customer 09</x:v>
      </x:c>
      <x:c r="E345" t="str">
        <x:f>INDEX(Customers!$C$2:$C$81,MATCH(C345,Customers!$A$2:$A$81,0))</x:f>
        <x:v>Small Business</x:v>
      </x:c>
      <x:c r="F345" t="str">
        <x:f>INDEX(Customers!$D$2:$D$81,MATCH(C345,Customers!$A$2:$A$81,0))</x:f>
        <x:v>North</x:v>
      </x:c>
      <x:c r="G345" t="str">
        <x:f>Raw_Orders!D345</x:f>
        <x:v>P006</x:v>
      </x:c>
      <x:c r="H345" t="str">
        <x:f>INDEX(Products!$B$2:$B$13,MATCH(G345,Products!$A$2:$A$13,0))</x:f>
        <x:v>Laptop Stand</x:v>
      </x:c>
      <x:c r="I345" t="str">
        <x:f>INDEX(Products!$C$2:$C$13,MATCH(G345,Products!$A$2:$A$13,0))</x:f>
        <x:v>Office</x:v>
      </x:c>
      <x:c r="J345" t="str">
        <x:f>Raw_Orders!G345</x:f>
        <x:v>Partner</x:v>
      </x:c>
      <x:c r="K345" t="n">
        <x:f>Raw_Orders!E345</x:f>
        <x:v>2</x:v>
      </x:c>
      <x:c r="L345" s="12" t="n">
        <x:f>Raw_Orders!F345</x:f>
        <x:v>0.15</x:v>
      </x:c>
      <x:c r="M345" s="14" t="n">
        <x:f>INDEX(Products!$D$2:$D$13,MATCH(G345,Products!$A$2:$A$13,0))</x:f>
        <x:v>55</x:v>
      </x:c>
      <x:c r="N345" s="14" t="n">
        <x:f>INDEX(Products!$E$2:$E$13,MATCH(G345,Products!$A$2:$A$13,0))</x:f>
        <x:v>24</x:v>
      </x:c>
      <x:c r="O345" s="14" t="n">
        <x:f>K345*M345</x:f>
        <x:v>110</x:v>
      </x:c>
      <x:c r="P345" s="14" t="n">
        <x:f>O345*(1-L345)</x:f>
        <x:v>93.5</x:v>
      </x:c>
      <x:c r="Q345" s="14" t="n">
        <x:f>K345*N345</x:f>
        <x:v>48</x:v>
      </x:c>
      <x:c r="R345" s="14" t="n">
        <x:f>P345-Q345</x:f>
        <x:v>45.5</x:v>
      </x:c>
      <x:c r="S345" s="16" t="n">
        <x:f>IFERROR(R345/P345,0)</x:f>
        <x:v>0.48663101604278075</x:v>
      </x:c>
    </x:row>
    <x:row r="346" ht="15" hidden="0" customHeight="1">
      <x:c r="A346" t="str">
        <x:f>Raw_Orders!A346</x:f>
        <x:v>O0345</x:v>
      </x:c>
      <x:c r="B346" s="10" t="n">
        <x:f>Raw_Orders!B346</x:f>
        <x:v>45979</x:v>
      </x:c>
      <x:c r="C346" t="str">
        <x:f>Raw_Orders!C346</x:f>
        <x:v>C014</x:v>
      </x:c>
      <x:c r="D346" t="str">
        <x:f>INDEX(Customers!$B$2:$B$81,MATCH(C346,Customers!$A$2:$A$81,0))</x:f>
        <x:v>Customer 14</x:v>
      </x:c>
      <x:c r="E346" t="str">
        <x:f>INDEX(Customers!$C$2:$C$81,MATCH(C346,Customers!$A$2:$A$81,0))</x:f>
        <x:v>Corporate</x:v>
      </x:c>
      <x:c r="F346" t="str">
        <x:f>INDEX(Customers!$D$2:$D$81,MATCH(C346,Customers!$A$2:$A$81,0))</x:f>
        <x:v>South</x:v>
      </x:c>
      <x:c r="G346" t="str">
        <x:f>Raw_Orders!D346</x:f>
        <x:v>P010</x:v>
      </x:c>
      <x:c r="H346" t="str">
        <x:f>INDEX(Products!$B$2:$B$13,MATCH(G346,Products!$A$2:$A$13,0))</x:f>
        <x:v>Portable SSD</x:v>
      </x:c>
      <x:c r="I346" t="str">
        <x:f>INDEX(Products!$C$2:$C$13,MATCH(G346,Products!$A$2:$A$13,0))</x:f>
        <x:v>Storage</x:v>
      </x:c>
      <x:c r="J346" t="str">
        <x:f>Raw_Orders!G346</x:f>
        <x:v>Online</x:v>
      </x:c>
      <x:c r="K346" t="n">
        <x:f>Raw_Orders!E346</x:f>
        <x:v>6</x:v>
      </x:c>
      <x:c r="L346" s="12" t="n">
        <x:f>Raw_Orders!F346</x:f>
        <x:v>0</x:v>
      </x:c>
      <x:c r="M346" s="14" t="n">
        <x:f>INDEX(Products!$D$2:$D$13,MATCH(G346,Products!$A$2:$A$13,0))</x:f>
        <x:v>145</x:v>
      </x:c>
      <x:c r="N346" s="14" t="n">
        <x:f>INDEX(Products!$E$2:$E$13,MATCH(G346,Products!$A$2:$A$13,0))</x:f>
        <x:v>86</x:v>
      </x:c>
      <x:c r="O346" s="14" t="n">
        <x:f>K346*M346</x:f>
        <x:v>870</x:v>
      </x:c>
      <x:c r="P346" s="14" t="n">
        <x:f>O346*(1-L346)</x:f>
        <x:v>870</x:v>
      </x:c>
      <x:c r="Q346" s="14" t="n">
        <x:f>K346*N346</x:f>
        <x:v>516</x:v>
      </x:c>
      <x:c r="R346" s="14" t="n">
        <x:f>P346-Q346</x:f>
        <x:v>354</x:v>
      </x:c>
      <x:c r="S346" s="16" t="n">
        <x:f>IFERROR(R346/P346,0)</x:f>
        <x:v>0.4068965517241379</x:v>
      </x:c>
    </x:row>
    <x:row r="347" ht="15" hidden="0" customHeight="1">
      <x:c r="A347" t="str">
        <x:f>Raw_Orders!A347</x:f>
        <x:v>O0346</x:v>
      </x:c>
      <x:c r="B347" s="10" t="n">
        <x:f>Raw_Orders!B347</x:f>
        <x:v>45680</x:v>
      </x:c>
      <x:c r="C347" t="str">
        <x:f>Raw_Orders!C347</x:f>
        <x:v>C046</x:v>
      </x:c>
      <x:c r="D347" t="str">
        <x:f>INDEX(Customers!$B$2:$B$81,MATCH(C347,Customers!$A$2:$A$81,0))</x:f>
        <x:v>Customer 46</x:v>
      </x:c>
      <x:c r="E347" t="str">
        <x:f>INDEX(Customers!$C$2:$C$81,MATCH(C347,Customers!$A$2:$A$81,0))</x:f>
        <x:v>Consumer</x:v>
      </x:c>
      <x:c r="F347" t="str">
        <x:f>INDEX(Customers!$D$2:$D$81,MATCH(C347,Customers!$A$2:$A$81,0))</x:f>
        <x:v>South</x:v>
      </x:c>
      <x:c r="G347" t="str">
        <x:f>Raw_Orders!D347</x:f>
        <x:v>P009</x:v>
      </x:c>
      <x:c r="H347" t="str">
        <x:f>INDEX(Products!$B$2:$B$13,MATCH(G347,Products!$A$2:$A$13,0))</x:f>
        <x:v>Desk Lamp</x:v>
      </x:c>
      <x:c r="I347" t="str">
        <x:f>INDEX(Products!$C$2:$C$13,MATCH(G347,Products!$A$2:$A$13,0))</x:f>
        <x:v>Office</x:v>
      </x:c>
      <x:c r="J347" t="str">
        <x:f>Raw_Orders!G347</x:f>
        <x:v>Online</x:v>
      </x:c>
      <x:c r="K347" t="n">
        <x:f>Raw_Orders!E347</x:f>
        <x:v>3</x:v>
      </x:c>
      <x:c r="L347" s="12" t="n">
        <x:f>Raw_Orders!F347</x:f>
        <x:v>0.15</x:v>
      </x:c>
      <x:c r="M347" s="14" t="n">
        <x:f>INDEX(Products!$D$2:$D$13,MATCH(G347,Products!$A$2:$A$13,0))</x:f>
        <x:v>70</x:v>
      </x:c>
      <x:c r="N347" s="14" t="n">
        <x:f>INDEX(Products!$E$2:$E$13,MATCH(G347,Products!$A$2:$A$13,0))</x:f>
        <x:v>29</x:v>
      </x:c>
      <x:c r="O347" s="14" t="n">
        <x:f>K347*M347</x:f>
        <x:v>210</x:v>
      </x:c>
      <x:c r="P347" s="14" t="n">
        <x:f>O347*(1-L347)</x:f>
        <x:v>178.5</x:v>
      </x:c>
      <x:c r="Q347" s="14" t="n">
        <x:f>K347*N347</x:f>
        <x:v>87</x:v>
      </x:c>
      <x:c r="R347" s="14" t="n">
        <x:f>P347-Q347</x:f>
        <x:v>91.5</x:v>
      </x:c>
      <x:c r="S347" s="16" t="n">
        <x:f>IFERROR(R347/P347,0)</x:f>
        <x:v>0.5126050420168067</x:v>
      </x:c>
    </x:row>
    <x:row r="348" ht="15" hidden="0" customHeight="1">
      <x:c r="A348" t="str">
        <x:f>Raw_Orders!A348</x:f>
        <x:v>O0347</x:v>
      </x:c>
      <x:c r="B348" s="10" t="n">
        <x:f>Raw_Orders!B348</x:f>
        <x:v>46008</x:v>
      </x:c>
      <x:c r="C348" t="str">
        <x:f>Raw_Orders!C348</x:f>
        <x:v>C060</x:v>
      </x:c>
      <x:c r="D348" t="str">
        <x:f>INDEX(Customers!$B$2:$B$81,MATCH(C348,Customers!$A$2:$A$81,0))</x:f>
        <x:v>Customer 60</x:v>
      </x:c>
      <x:c r="E348" t="str">
        <x:f>INDEX(Customers!$C$2:$C$81,MATCH(C348,Customers!$A$2:$A$81,0))</x:f>
        <x:v>Small Business</x:v>
      </x:c>
      <x:c r="F348" t="str">
        <x:f>INDEX(Customers!$D$2:$D$81,MATCH(C348,Customers!$A$2:$A$81,0))</x:f>
        <x:v>West</x:v>
      </x:c>
      <x:c r="G348" t="str">
        <x:f>Raw_Orders!D348</x:f>
        <x:v>P012</x:v>
      </x:c>
      <x:c r="H348" t="str">
        <x:f>INDEX(Products!$B$2:$B$13,MATCH(G348,Products!$A$2:$A$13,0))</x:f>
        <x:v>Docking Station</x:v>
      </x:c>
      <x:c r="I348" t="str">
        <x:f>INDEX(Products!$C$2:$C$13,MATCH(G348,Products!$A$2:$A$13,0))</x:f>
        <x:v>Accessories</x:v>
      </x:c>
      <x:c r="J348" t="str">
        <x:f>Raw_Orders!G348</x:f>
        <x:v>Online</x:v>
      </x:c>
      <x:c r="K348" t="n">
        <x:f>Raw_Orders!E348</x:f>
        <x:v>4</x:v>
      </x:c>
      <x:c r="L348" s="12" t="n">
        <x:f>Raw_Orders!F348</x:f>
        <x:v>0.15</x:v>
      </x:c>
      <x:c r="M348" s="14" t="n">
        <x:f>INDEX(Products!$D$2:$D$13,MATCH(G348,Products!$A$2:$A$13,0))</x:f>
        <x:v>180</x:v>
      </x:c>
      <x:c r="N348" s="14" t="n">
        <x:f>INDEX(Products!$E$2:$E$13,MATCH(G348,Products!$A$2:$A$13,0))</x:f>
        <x:v>104</x:v>
      </x:c>
      <x:c r="O348" s="14" t="n">
        <x:f>K348*M348</x:f>
        <x:v>720</x:v>
      </x:c>
      <x:c r="P348" s="14" t="n">
        <x:f>O348*(1-L348)</x:f>
        <x:v>612</x:v>
      </x:c>
      <x:c r="Q348" s="14" t="n">
        <x:f>K348*N348</x:f>
        <x:v>416</x:v>
      </x:c>
      <x:c r="R348" s="14" t="n">
        <x:f>P348-Q348</x:f>
        <x:v>196</x:v>
      </x:c>
      <x:c r="S348" s="16" t="n">
        <x:f>IFERROR(R348/P348,0)</x:f>
        <x:v>0.3202614379084967</x:v>
      </x:c>
    </x:row>
    <x:row r="349" ht="15" hidden="0" customHeight="1">
      <x:c r="A349" t="str">
        <x:f>Raw_Orders!A349</x:f>
        <x:v>O0348</x:v>
      </x:c>
      <x:c r="B349" s="10" t="n">
        <x:f>Raw_Orders!B349</x:f>
        <x:v>45727</x:v>
      </x:c>
      <x:c r="C349" t="str">
        <x:f>Raw_Orders!C349</x:f>
        <x:v>C009</x:v>
      </x:c>
      <x:c r="D349" t="str">
        <x:f>INDEX(Customers!$B$2:$B$81,MATCH(C349,Customers!$A$2:$A$81,0))</x:f>
        <x:v>Customer 09</x:v>
      </x:c>
      <x:c r="E349" t="str">
        <x:f>INDEX(Customers!$C$2:$C$81,MATCH(C349,Customers!$A$2:$A$81,0))</x:f>
        <x:v>Small Business</x:v>
      </x:c>
      <x:c r="F349" t="str">
        <x:f>INDEX(Customers!$D$2:$D$81,MATCH(C349,Customers!$A$2:$A$81,0))</x:f>
        <x:v>North</x:v>
      </x:c>
      <x:c r="G349" t="str">
        <x:f>Raw_Orders!D349</x:f>
        <x:v>P012</x:v>
      </x:c>
      <x:c r="H349" t="str">
        <x:f>INDEX(Products!$B$2:$B$13,MATCH(G349,Products!$A$2:$A$13,0))</x:f>
        <x:v>Docking Station</x:v>
      </x:c>
      <x:c r="I349" t="str">
        <x:f>INDEX(Products!$C$2:$C$13,MATCH(G349,Products!$A$2:$A$13,0))</x:f>
        <x:v>Accessories</x:v>
      </x:c>
      <x:c r="J349" t="str">
        <x:f>Raw_Orders!G349</x:f>
        <x:v>Retail</x:v>
      </x:c>
      <x:c r="K349" t="n">
        <x:f>Raw_Orders!E349</x:f>
        <x:v>4</x:v>
      </x:c>
      <x:c r="L349" s="12" t="n">
        <x:f>Raw_Orders!F349</x:f>
        <x:v>0</x:v>
      </x:c>
      <x:c r="M349" s="14" t="n">
        <x:f>INDEX(Products!$D$2:$D$13,MATCH(G349,Products!$A$2:$A$13,0))</x:f>
        <x:v>180</x:v>
      </x:c>
      <x:c r="N349" s="14" t="n">
        <x:f>INDEX(Products!$E$2:$E$13,MATCH(G349,Products!$A$2:$A$13,0))</x:f>
        <x:v>104</x:v>
      </x:c>
      <x:c r="O349" s="14" t="n">
        <x:f>K349*M349</x:f>
        <x:v>720</x:v>
      </x:c>
      <x:c r="P349" s="14" t="n">
        <x:f>O349*(1-L349)</x:f>
        <x:v>720</x:v>
      </x:c>
      <x:c r="Q349" s="14" t="n">
        <x:f>K349*N349</x:f>
        <x:v>416</x:v>
      </x:c>
      <x:c r="R349" s="14" t="n">
        <x:f>P349-Q349</x:f>
        <x:v>304</x:v>
      </x:c>
      <x:c r="S349" s="16" t="n">
        <x:f>IFERROR(R349/P349,0)</x:f>
        <x:v>0.4222222222222222</x:v>
      </x:c>
    </x:row>
    <x:row r="350" ht="15" hidden="0" customHeight="1">
      <x:c r="A350" t="str">
        <x:f>Raw_Orders!A350</x:f>
        <x:v>O0349</x:v>
      </x:c>
      <x:c r="B350" s="10" t="n">
        <x:f>Raw_Orders!B350</x:f>
        <x:v>45761</x:v>
      </x:c>
      <x:c r="C350" t="str">
        <x:f>Raw_Orders!C350</x:f>
        <x:v>C006</x:v>
      </x:c>
      <x:c r="D350" t="str">
        <x:f>INDEX(Customers!$B$2:$B$81,MATCH(C350,Customers!$A$2:$A$81,0))</x:f>
        <x:v>Customer 06</x:v>
      </x:c>
      <x:c r="E350" t="str">
        <x:f>INDEX(Customers!$C$2:$C$81,MATCH(C350,Customers!$A$2:$A$81,0))</x:f>
        <x:v>Small Business</x:v>
      </x:c>
      <x:c r="F350" t="str">
        <x:f>INDEX(Customers!$D$2:$D$81,MATCH(C350,Customers!$A$2:$A$81,0))</x:f>
        <x:v>South</x:v>
      </x:c>
      <x:c r="G350" t="str">
        <x:f>Raw_Orders!D350</x:f>
        <x:v>P004</x:v>
      </x:c>
      <x:c r="H350" t="str">
        <x:f>INDEX(Products!$B$2:$B$13,MATCH(G350,Products!$A$2:$A$13,0))</x:f>
        <x:v>24in Monitor</x:v>
      </x:c>
      <x:c r="I350" t="str">
        <x:f>INDEX(Products!$C$2:$C$13,MATCH(G350,Products!$A$2:$A$13,0))</x:f>
        <x:v>Displays</x:v>
      </x:c>
      <x:c r="J350" t="str">
        <x:f>Raw_Orders!G350</x:f>
        <x:v>Retail</x:v>
      </x:c>
      <x:c r="K350" t="n">
        <x:f>Raw_Orders!E350</x:f>
        <x:v>1</x:v>
      </x:c>
      <x:c r="L350" s="12" t="n">
        <x:f>Raw_Orders!F350</x:f>
        <x:v>0</x:v>
      </x:c>
      <x:c r="M350" s="14" t="n">
        <x:f>INDEX(Products!$D$2:$D$13,MATCH(G350,Products!$A$2:$A$13,0))</x:f>
        <x:v>220</x:v>
      </x:c>
      <x:c r="N350" s="14" t="n">
        <x:f>INDEX(Products!$E$2:$E$13,MATCH(G350,Products!$A$2:$A$13,0))</x:f>
        <x:v>142</x:v>
      </x:c>
      <x:c r="O350" s="14" t="n">
        <x:f>K350*M350</x:f>
        <x:v>220</x:v>
      </x:c>
      <x:c r="P350" s="14" t="n">
        <x:f>O350*(1-L350)</x:f>
        <x:v>220</x:v>
      </x:c>
      <x:c r="Q350" s="14" t="n">
        <x:f>K350*N350</x:f>
        <x:v>142</x:v>
      </x:c>
      <x:c r="R350" s="14" t="n">
        <x:f>P350-Q350</x:f>
        <x:v>78</x:v>
      </x:c>
      <x:c r="S350" s="16" t="n">
        <x:f>IFERROR(R350/P350,0)</x:f>
        <x:v>0.35454545454545455</x:v>
      </x:c>
    </x:row>
    <x:row r="351" ht="15" hidden="0" customHeight="1">
      <x:c r="A351" t="str">
        <x:f>Raw_Orders!A351</x:f>
        <x:v>O0350</x:v>
      </x:c>
      <x:c r="B351" s="10" t="n">
        <x:f>Raw_Orders!B351</x:f>
        <x:v>45921</x:v>
      </x:c>
      <x:c r="C351" t="str">
        <x:f>Raw_Orders!C351</x:f>
        <x:v>C051</x:v>
      </x:c>
      <x:c r="D351" t="str">
        <x:f>INDEX(Customers!$B$2:$B$81,MATCH(C351,Customers!$A$2:$A$81,0))</x:f>
        <x:v>Customer 51</x:v>
      </x:c>
      <x:c r="E351" t="str">
        <x:f>INDEX(Customers!$C$2:$C$81,MATCH(C351,Customers!$A$2:$A$81,0))</x:f>
        <x:v>Small Business</x:v>
      </x:c>
      <x:c r="F351" t="str">
        <x:f>INDEX(Customers!$D$2:$D$81,MATCH(C351,Customers!$A$2:$A$81,0))</x:f>
        <x:v>East</x:v>
      </x:c>
      <x:c r="G351" t="str">
        <x:f>Raw_Orders!D351</x:f>
        <x:v>P009</x:v>
      </x:c>
      <x:c r="H351" t="str">
        <x:f>INDEX(Products!$B$2:$B$13,MATCH(G351,Products!$A$2:$A$13,0))</x:f>
        <x:v>Desk Lamp</x:v>
      </x:c>
      <x:c r="I351" t="str">
        <x:f>INDEX(Products!$C$2:$C$13,MATCH(G351,Products!$A$2:$A$13,0))</x:f>
        <x:v>Office</x:v>
      </x:c>
      <x:c r="J351" t="str">
        <x:f>Raw_Orders!G351</x:f>
        <x:v>Online</x:v>
      </x:c>
      <x:c r="K351" t="n">
        <x:f>Raw_Orders!E351</x:f>
        <x:v>4</x:v>
      </x:c>
      <x:c r="L351" s="12" t="n">
        <x:f>Raw_Orders!F351</x:f>
        <x:v>0</x:v>
      </x:c>
      <x:c r="M351" s="14" t="n">
        <x:f>INDEX(Products!$D$2:$D$13,MATCH(G351,Products!$A$2:$A$13,0))</x:f>
        <x:v>70</x:v>
      </x:c>
      <x:c r="N351" s="14" t="n">
        <x:f>INDEX(Products!$E$2:$E$13,MATCH(G351,Products!$A$2:$A$13,0))</x:f>
        <x:v>29</x:v>
      </x:c>
      <x:c r="O351" s="14" t="n">
        <x:f>K351*M351</x:f>
        <x:v>280</x:v>
      </x:c>
      <x:c r="P351" s="14" t="n">
        <x:f>O351*(1-L351)</x:f>
        <x:v>280</x:v>
      </x:c>
      <x:c r="Q351" s="14" t="n">
        <x:f>K351*N351</x:f>
        <x:v>116</x:v>
      </x:c>
      <x:c r="R351" s="14" t="n">
        <x:f>P351-Q351</x:f>
        <x:v>164</x:v>
      </x:c>
      <x:c r="S351" s="16" t="n">
        <x:f>IFERROR(R351/P351,0)</x:f>
        <x:v>0.5857142857142857</x:v>
      </x:c>
    </x:row>
    <x:row r="352" ht="15" hidden="0" customHeight="1">
      <x:c r="A352" t="str">
        <x:f>Raw_Orders!A352</x:f>
        <x:v>O0351</x:v>
      </x:c>
      <x:c r="B352" s="10" t="n">
        <x:f>Raw_Orders!B352</x:f>
        <x:v>45989</x:v>
      </x:c>
      <x:c r="C352" t="str">
        <x:f>Raw_Orders!C352</x:f>
        <x:v>C025</x:v>
      </x:c>
      <x:c r="D352" t="str">
        <x:f>INDEX(Customers!$B$2:$B$81,MATCH(C352,Customers!$A$2:$A$81,0))</x:f>
        <x:v>Customer 25</x:v>
      </x:c>
      <x:c r="E352" t="str">
        <x:f>INDEX(Customers!$C$2:$C$81,MATCH(C352,Customers!$A$2:$A$81,0))</x:f>
        <x:v>Consumer</x:v>
      </x:c>
      <x:c r="F352" t="str">
        <x:f>INDEX(Customers!$D$2:$D$81,MATCH(C352,Customers!$A$2:$A$81,0))</x:f>
        <x:v>North</x:v>
      </x:c>
      <x:c r="G352" t="str">
        <x:f>Raw_Orders!D352</x:f>
        <x:v>P005</x:v>
      </x:c>
      <x:c r="H352" t="str">
        <x:f>INDEX(Products!$B$2:$B$13,MATCH(G352,Products!$A$2:$A$13,0))</x:f>
        <x:v>27in Monitor</x:v>
      </x:c>
      <x:c r="I352" t="str">
        <x:f>INDEX(Products!$C$2:$C$13,MATCH(G352,Products!$A$2:$A$13,0))</x:f>
        <x:v>Displays</x:v>
      </x:c>
      <x:c r="J352" t="str">
        <x:f>Raw_Orders!G352</x:f>
        <x:v>Partner</x:v>
      </x:c>
      <x:c r="K352" t="n">
        <x:f>Raw_Orders!E352</x:f>
        <x:v>3</x:v>
      </x:c>
      <x:c r="L352" s="12" t="n">
        <x:f>Raw_Orders!F352</x:f>
        <x:v>0</x:v>
      </x:c>
      <x:c r="M352" s="14" t="n">
        <x:f>INDEX(Products!$D$2:$D$13,MATCH(G352,Products!$A$2:$A$13,0))</x:f>
        <x:v>310</x:v>
      </x:c>
      <x:c r="N352" s="14" t="n">
        <x:f>INDEX(Products!$E$2:$E$13,MATCH(G352,Products!$A$2:$A$13,0))</x:f>
        <x:v>205</x:v>
      </x:c>
      <x:c r="O352" s="14" t="n">
        <x:f>K352*M352</x:f>
        <x:v>930</x:v>
      </x:c>
      <x:c r="P352" s="14" t="n">
        <x:f>O352*(1-L352)</x:f>
        <x:v>930</x:v>
      </x:c>
      <x:c r="Q352" s="14" t="n">
        <x:f>K352*N352</x:f>
        <x:v>615</x:v>
      </x:c>
      <x:c r="R352" s="14" t="n">
        <x:f>P352-Q352</x:f>
        <x:v>315</x:v>
      </x:c>
      <x:c r="S352" s="16" t="n">
        <x:f>IFERROR(R352/P352,0)</x:f>
        <x:v>0.3387096774193548</x:v>
      </x:c>
    </x:row>
    <x:row r="353" ht="15" hidden="0" customHeight="1">
      <x:c r="A353" t="str">
        <x:f>Raw_Orders!A353</x:f>
        <x:v>O0352</x:v>
      </x:c>
      <x:c r="B353" s="10" t="n">
        <x:f>Raw_Orders!B353</x:f>
        <x:v>45827</x:v>
      </x:c>
      <x:c r="C353" t="str">
        <x:f>Raw_Orders!C353</x:f>
        <x:v>C035</x:v>
      </x:c>
      <x:c r="D353" t="str">
        <x:f>INDEX(Customers!$B$2:$B$81,MATCH(C353,Customers!$A$2:$A$81,0))</x:f>
        <x:v>Customer 35</x:v>
      </x:c>
      <x:c r="E353" t="str">
        <x:f>INDEX(Customers!$C$2:$C$81,MATCH(C353,Customers!$A$2:$A$81,0))</x:f>
        <x:v>Corporate</x:v>
      </x:c>
      <x:c r="F353" t="str">
        <x:f>INDEX(Customers!$D$2:$D$81,MATCH(C353,Customers!$A$2:$A$81,0))</x:f>
        <x:v>East</x:v>
      </x:c>
      <x:c r="G353" t="str">
        <x:f>Raw_Orders!D353</x:f>
        <x:v>P002</x:v>
      </x:c>
      <x:c r="H353" t="str">
        <x:f>INDEX(Products!$B$2:$B$13,MATCH(G353,Products!$A$2:$A$13,0))</x:f>
        <x:v>Mechanical Keyboard</x:v>
      </x:c>
      <x:c r="I353" t="str">
        <x:f>INDEX(Products!$C$2:$C$13,MATCH(G353,Products!$A$2:$A$13,0))</x:f>
        <x:v>Accessories</x:v>
      </x:c>
      <x:c r="J353" t="str">
        <x:f>Raw_Orders!G353</x:f>
        <x:v>Retail</x:v>
      </x:c>
      <x:c r="K353" t="n">
        <x:f>Raw_Orders!E353</x:f>
        <x:v>3</x:v>
      </x:c>
      <x:c r="L353" s="12" t="n">
        <x:f>Raw_Orders!F353</x:f>
        <x:v>0.05</x:v>
      </x:c>
      <x:c r="M353" s="14" t="n">
        <x:f>INDEX(Products!$D$2:$D$13,MATCH(G353,Products!$A$2:$A$13,0))</x:f>
        <x:v>110</x:v>
      </x:c>
      <x:c r="N353" s="14" t="n">
        <x:f>INDEX(Products!$E$2:$E$13,MATCH(G353,Products!$A$2:$A$13,0))</x:f>
        <x:v>58</x:v>
      </x:c>
      <x:c r="O353" s="14" t="n">
        <x:f>K353*M353</x:f>
        <x:v>330</x:v>
      </x:c>
      <x:c r="P353" s="14" t="n">
        <x:f>O353*(1-L353)</x:f>
        <x:v>313.5</x:v>
      </x:c>
      <x:c r="Q353" s="14" t="n">
        <x:f>K353*N353</x:f>
        <x:v>174</x:v>
      </x:c>
      <x:c r="R353" s="14" t="n">
        <x:f>P353-Q353</x:f>
        <x:v>139.5</x:v>
      </x:c>
      <x:c r="S353" s="16" t="n">
        <x:f>IFERROR(R353/P353,0)</x:f>
        <x:v>0.4449760765550239</x:v>
      </x:c>
    </x:row>
    <x:row r="354" ht="15" hidden="0" customHeight="1">
      <x:c r="A354" t="str">
        <x:f>Raw_Orders!A354</x:f>
        <x:v>O0353</x:v>
      </x:c>
      <x:c r="B354" s="10" t="n">
        <x:f>Raw_Orders!B354</x:f>
        <x:v>45883</x:v>
      </x:c>
      <x:c r="C354" t="str">
        <x:f>Raw_Orders!C354</x:f>
        <x:v>C050</x:v>
      </x:c>
      <x:c r="D354" t="str">
        <x:f>INDEX(Customers!$B$2:$B$81,MATCH(C354,Customers!$A$2:$A$81,0))</x:f>
        <x:v>Customer 50</x:v>
      </x:c>
      <x:c r="E354" t="str">
        <x:f>INDEX(Customers!$C$2:$C$81,MATCH(C354,Customers!$A$2:$A$81,0))</x:f>
        <x:v>Corporate</x:v>
      </x:c>
      <x:c r="F354" t="str">
        <x:f>INDEX(Customers!$D$2:$D$81,MATCH(C354,Customers!$A$2:$A$81,0))</x:f>
        <x:v>South</x:v>
      </x:c>
      <x:c r="G354" t="str">
        <x:f>Raw_Orders!D354</x:f>
        <x:v>P006</x:v>
      </x:c>
      <x:c r="H354" t="str">
        <x:f>INDEX(Products!$B$2:$B$13,MATCH(G354,Products!$A$2:$A$13,0))</x:f>
        <x:v>Laptop Stand</x:v>
      </x:c>
      <x:c r="I354" t="str">
        <x:f>INDEX(Products!$C$2:$C$13,MATCH(G354,Products!$A$2:$A$13,0))</x:f>
        <x:v>Office</x:v>
      </x:c>
      <x:c r="J354" t="str">
        <x:f>Raw_Orders!G354</x:f>
        <x:v>Partner</x:v>
      </x:c>
      <x:c r="K354" t="n">
        <x:f>Raw_Orders!E354</x:f>
        <x:v>2</x:v>
      </x:c>
      <x:c r="L354" s="12" t="n">
        <x:f>Raw_Orders!F354</x:f>
        <x:v>0.05</x:v>
      </x:c>
      <x:c r="M354" s="14" t="n">
        <x:f>INDEX(Products!$D$2:$D$13,MATCH(G354,Products!$A$2:$A$13,0))</x:f>
        <x:v>55</x:v>
      </x:c>
      <x:c r="N354" s="14" t="n">
        <x:f>INDEX(Products!$E$2:$E$13,MATCH(G354,Products!$A$2:$A$13,0))</x:f>
        <x:v>24</x:v>
      </x:c>
      <x:c r="O354" s="14" t="n">
        <x:f>K354*M354</x:f>
        <x:v>110</x:v>
      </x:c>
      <x:c r="P354" s="14" t="n">
        <x:f>O354*(1-L354)</x:f>
        <x:v>104.5</x:v>
      </x:c>
      <x:c r="Q354" s="14" t="n">
        <x:f>K354*N354</x:f>
        <x:v>48</x:v>
      </x:c>
      <x:c r="R354" s="14" t="n">
        <x:f>P354-Q354</x:f>
        <x:v>56.5</x:v>
      </x:c>
      <x:c r="S354" s="16" t="n">
        <x:f>IFERROR(R354/P354,0)</x:f>
        <x:v>0.5406698564593302</x:v>
      </x:c>
    </x:row>
    <x:row r="355" ht="15" hidden="0" customHeight="1">
      <x:c r="A355" t="str">
        <x:f>Raw_Orders!A355</x:f>
        <x:v>O0354</x:v>
      </x:c>
      <x:c r="B355" s="10" t="n">
        <x:f>Raw_Orders!B355</x:f>
        <x:v>45912</x:v>
      </x:c>
      <x:c r="C355" t="str">
        <x:f>Raw_Orders!C355</x:f>
        <x:v>C048</x:v>
      </x:c>
      <x:c r="D355" t="str">
        <x:f>INDEX(Customers!$B$2:$B$81,MATCH(C355,Customers!$A$2:$A$81,0))</x:f>
        <x:v>Customer 48</x:v>
      </x:c>
      <x:c r="E355" t="str">
        <x:f>INDEX(Customers!$C$2:$C$81,MATCH(C355,Customers!$A$2:$A$81,0))</x:f>
        <x:v>Small Business</x:v>
      </x:c>
      <x:c r="F355" t="str">
        <x:f>INDEX(Customers!$D$2:$D$81,MATCH(C355,Customers!$A$2:$A$81,0))</x:f>
        <x:v>West</x:v>
      </x:c>
      <x:c r="G355" t="str">
        <x:f>Raw_Orders!D355</x:f>
        <x:v>P009</x:v>
      </x:c>
      <x:c r="H355" t="str">
        <x:f>INDEX(Products!$B$2:$B$13,MATCH(G355,Products!$A$2:$A$13,0))</x:f>
        <x:v>Desk Lamp</x:v>
      </x:c>
      <x:c r="I355" t="str">
        <x:f>INDEX(Products!$C$2:$C$13,MATCH(G355,Products!$A$2:$A$13,0))</x:f>
        <x:v>Office</x:v>
      </x:c>
      <x:c r="J355" t="str">
        <x:f>Raw_Orders!G355</x:f>
        <x:v>Partner</x:v>
      </x:c>
      <x:c r="K355" t="n">
        <x:f>Raw_Orders!E355</x:f>
        <x:v>3</x:v>
      </x:c>
      <x:c r="L355" s="12" t="n">
        <x:f>Raw_Orders!F355</x:f>
        <x:v>0</x:v>
      </x:c>
      <x:c r="M355" s="14" t="n">
        <x:f>INDEX(Products!$D$2:$D$13,MATCH(G355,Products!$A$2:$A$13,0))</x:f>
        <x:v>70</x:v>
      </x:c>
      <x:c r="N355" s="14" t="n">
        <x:f>INDEX(Products!$E$2:$E$13,MATCH(G355,Products!$A$2:$A$13,0))</x:f>
        <x:v>29</x:v>
      </x:c>
      <x:c r="O355" s="14" t="n">
        <x:f>K355*M355</x:f>
        <x:v>210</x:v>
      </x:c>
      <x:c r="P355" s="14" t="n">
        <x:f>O355*(1-L355)</x:f>
        <x:v>210</x:v>
      </x:c>
      <x:c r="Q355" s="14" t="n">
        <x:f>K355*N355</x:f>
        <x:v>87</x:v>
      </x:c>
      <x:c r="R355" s="14" t="n">
        <x:f>P355-Q355</x:f>
        <x:v>123</x:v>
      </x:c>
      <x:c r="S355" s="16" t="n">
        <x:f>IFERROR(R355/P355,0)</x:f>
        <x:v>0.5857142857142857</x:v>
      </x:c>
    </x:row>
    <x:row r="356" ht="15" hidden="0" customHeight="1">
      <x:c r="A356" t="str">
        <x:f>Raw_Orders!A356</x:f>
        <x:v>O0355</x:v>
      </x:c>
      <x:c r="B356" s="10" t="n">
        <x:f>Raw_Orders!B356</x:f>
        <x:v>45875</x:v>
      </x:c>
      <x:c r="C356" t="str">
        <x:f>Raw_Orders!C356</x:f>
        <x:v>C011</x:v>
      </x:c>
      <x:c r="D356" t="str">
        <x:f>INDEX(Customers!$B$2:$B$81,MATCH(C356,Customers!$A$2:$A$81,0))</x:f>
        <x:v>Customer 11</x:v>
      </x:c>
      <x:c r="E356" t="str">
        <x:f>INDEX(Customers!$C$2:$C$81,MATCH(C356,Customers!$A$2:$A$81,0))</x:f>
        <x:v>Corporate</x:v>
      </x:c>
      <x:c r="F356" t="str">
        <x:f>INDEX(Customers!$D$2:$D$81,MATCH(C356,Customers!$A$2:$A$81,0))</x:f>
        <x:v>East</x:v>
      </x:c>
      <x:c r="G356" t="str">
        <x:f>Raw_Orders!D356</x:f>
        <x:v>P007</x:v>
      </x:c>
      <x:c r="H356" t="str">
        <x:f>INDEX(Products!$B$2:$B$13,MATCH(G356,Products!$A$2:$A$13,0))</x:f>
        <x:v>Ergonomic Chair</x:v>
      </x:c>
      <x:c r="I356" t="str">
        <x:f>INDEX(Products!$C$2:$C$13,MATCH(G356,Products!$A$2:$A$13,0))</x:f>
        <x:v>Office</x:v>
      </x:c>
      <x:c r="J356" t="str">
        <x:f>Raw_Orders!G356</x:f>
        <x:v>Partner</x:v>
      </x:c>
      <x:c r="K356" t="n">
        <x:f>Raw_Orders!E356</x:f>
        <x:v>5</x:v>
      </x:c>
      <x:c r="L356" s="12" t="n">
        <x:f>Raw_Orders!F356</x:f>
        <x:v>0</x:v>
      </x:c>
      <x:c r="M356" s="14" t="n">
        <x:f>INDEX(Products!$D$2:$D$13,MATCH(G356,Products!$A$2:$A$13,0))</x:f>
        <x:v>390</x:v>
      </x:c>
      <x:c r="N356" s="14" t="n">
        <x:f>INDEX(Products!$E$2:$E$13,MATCH(G356,Products!$A$2:$A$13,0))</x:f>
        <x:v>245</x:v>
      </x:c>
      <x:c r="O356" s="14" t="n">
        <x:f>K356*M356</x:f>
        <x:v>1950</x:v>
      </x:c>
      <x:c r="P356" s="14" t="n">
        <x:f>O356*(1-L356)</x:f>
        <x:v>1950</x:v>
      </x:c>
      <x:c r="Q356" s="14" t="n">
        <x:f>K356*N356</x:f>
        <x:v>1225</x:v>
      </x:c>
      <x:c r="R356" s="14" t="n">
        <x:f>P356-Q356</x:f>
        <x:v>725</x:v>
      </x:c>
      <x:c r="S356" s="16" t="n">
        <x:f>IFERROR(R356/P356,0)</x:f>
        <x:v>0.3717948717948718</x:v>
      </x:c>
    </x:row>
    <x:row r="357" ht="15" hidden="0" customHeight="1">
      <x:c r="A357" t="str">
        <x:f>Raw_Orders!A357</x:f>
        <x:v>O0356</x:v>
      </x:c>
      <x:c r="B357" s="10" t="n">
        <x:f>Raw_Orders!B357</x:f>
        <x:v>45808</x:v>
      </x:c>
      <x:c r="C357" t="str">
        <x:f>Raw_Orders!C357</x:f>
        <x:v>C042</x:v>
      </x:c>
      <x:c r="D357" t="str">
        <x:f>INDEX(Customers!$B$2:$B$81,MATCH(C357,Customers!$A$2:$A$81,0))</x:f>
        <x:v>Customer 42</x:v>
      </x:c>
      <x:c r="E357" t="str">
        <x:f>INDEX(Customers!$C$2:$C$81,MATCH(C357,Customers!$A$2:$A$81,0))</x:f>
        <x:v>Small Business</x:v>
      </x:c>
      <x:c r="F357" t="str">
        <x:f>INDEX(Customers!$D$2:$D$81,MATCH(C357,Customers!$A$2:$A$81,0))</x:f>
        <x:v>South</x:v>
      </x:c>
      <x:c r="G357" t="str">
        <x:f>Raw_Orders!D357</x:f>
        <x:v>P002</x:v>
      </x:c>
      <x:c r="H357" t="str">
        <x:f>INDEX(Products!$B$2:$B$13,MATCH(G357,Products!$A$2:$A$13,0))</x:f>
        <x:v>Mechanical Keyboard</x:v>
      </x:c>
      <x:c r="I357" t="str">
        <x:f>INDEX(Products!$C$2:$C$13,MATCH(G357,Products!$A$2:$A$13,0))</x:f>
        <x:v>Accessories</x:v>
      </x:c>
      <x:c r="J357" t="str">
        <x:f>Raw_Orders!G357</x:f>
        <x:v>Partner</x:v>
      </x:c>
      <x:c r="K357" t="n">
        <x:f>Raw_Orders!E357</x:f>
        <x:v>1</x:v>
      </x:c>
      <x:c r="L357" s="12" t="n">
        <x:f>Raw_Orders!F357</x:f>
        <x:v>0</x:v>
      </x:c>
      <x:c r="M357" s="14" t="n">
        <x:f>INDEX(Products!$D$2:$D$13,MATCH(G357,Products!$A$2:$A$13,0))</x:f>
        <x:v>110</x:v>
      </x:c>
      <x:c r="N357" s="14" t="n">
        <x:f>INDEX(Products!$E$2:$E$13,MATCH(G357,Products!$A$2:$A$13,0))</x:f>
        <x:v>58</x:v>
      </x:c>
      <x:c r="O357" s="14" t="n">
        <x:f>K357*M357</x:f>
        <x:v>110</x:v>
      </x:c>
      <x:c r="P357" s="14" t="n">
        <x:f>O357*(1-L357)</x:f>
        <x:v>110</x:v>
      </x:c>
      <x:c r="Q357" s="14" t="n">
        <x:f>K357*N357</x:f>
        <x:v>58</x:v>
      </x:c>
      <x:c r="R357" s="14" t="n">
        <x:f>P357-Q357</x:f>
        <x:v>52</x:v>
      </x:c>
      <x:c r="S357" s="16" t="n">
        <x:f>IFERROR(R357/P357,0)</x:f>
        <x:v>0.4727272727272727</x:v>
      </x:c>
    </x:row>
    <x:row r="358" ht="15" hidden="0" customHeight="1">
      <x:c r="A358" t="str">
        <x:f>Raw_Orders!A358</x:f>
        <x:v>O0357</x:v>
      </x:c>
      <x:c r="B358" s="10" t="n">
        <x:f>Raw_Orders!B358</x:f>
        <x:v>45809</x:v>
      </x:c>
      <x:c r="C358" t="str">
        <x:f>Raw_Orders!C358</x:f>
        <x:v>C040</x:v>
      </x:c>
      <x:c r="D358" t="str">
        <x:f>INDEX(Customers!$B$2:$B$81,MATCH(C358,Customers!$A$2:$A$81,0))</x:f>
        <x:v>Customer 40</x:v>
      </x:c>
      <x:c r="E358" t="str">
        <x:f>INDEX(Customers!$C$2:$C$81,MATCH(C358,Customers!$A$2:$A$81,0))</x:f>
        <x:v>Consumer</x:v>
      </x:c>
      <x:c r="F358" t="str">
        <x:f>INDEX(Customers!$D$2:$D$81,MATCH(C358,Customers!$A$2:$A$81,0))</x:f>
        <x:v>West</x:v>
      </x:c>
      <x:c r="G358" t="str">
        <x:f>Raw_Orders!D358</x:f>
        <x:v>P008</x:v>
      </x:c>
      <x:c r="H358" t="str">
        <x:f>INDEX(Products!$B$2:$B$13,MATCH(G358,Products!$A$2:$A$13,0))</x:f>
        <x:v>Webcam</x:v>
      </x:c>
      <x:c r="I358" t="str">
        <x:f>INDEX(Products!$C$2:$C$13,MATCH(G358,Products!$A$2:$A$13,0))</x:f>
        <x:v>Accessories</x:v>
      </x:c>
      <x:c r="J358" t="str">
        <x:f>Raw_Orders!G358</x:f>
        <x:v>Retail</x:v>
      </x:c>
      <x:c r="K358" t="n">
        <x:f>Raw_Orders!E358</x:f>
        <x:v>5</x:v>
      </x:c>
      <x:c r="L358" s="12" t="n">
        <x:f>Raw_Orders!F358</x:f>
        <x:v>0.15</x:v>
      </x:c>
      <x:c r="M358" s="14" t="n">
        <x:f>INDEX(Products!$D$2:$D$13,MATCH(G358,Products!$A$2:$A$13,0))</x:f>
        <x:v>95</x:v>
      </x:c>
      <x:c r="N358" s="14" t="n">
        <x:f>INDEX(Products!$E$2:$E$13,MATCH(G358,Products!$A$2:$A$13,0))</x:f>
        <x:v>49</x:v>
      </x:c>
      <x:c r="O358" s="14" t="n">
        <x:f>K358*M358</x:f>
        <x:v>475</x:v>
      </x:c>
      <x:c r="P358" s="14" t="n">
        <x:f>O358*(1-L358)</x:f>
        <x:v>403.75</x:v>
      </x:c>
      <x:c r="Q358" s="14" t="n">
        <x:f>K358*N358</x:f>
        <x:v>245</x:v>
      </x:c>
      <x:c r="R358" s="14" t="n">
        <x:f>P358-Q358</x:f>
        <x:v>158.75</x:v>
      </x:c>
      <x:c r="S358" s="16" t="n">
        <x:f>IFERROR(R358/P358,0)</x:f>
        <x:v>0.3931888544891641</x:v>
      </x:c>
    </x:row>
    <x:row r="359" ht="15" hidden="0" customHeight="1">
      <x:c r="A359" t="str">
        <x:f>Raw_Orders!A359</x:f>
        <x:v>O0358</x:v>
      </x:c>
      <x:c r="B359" s="10" t="n">
        <x:f>Raw_Orders!B359</x:f>
        <x:v>45743</x:v>
      </x:c>
      <x:c r="C359" t="str">
        <x:f>Raw_Orders!C359</x:f>
        <x:v>C057</x:v>
      </x:c>
      <x:c r="D359" t="str">
        <x:f>INDEX(Customers!$B$2:$B$81,MATCH(C359,Customers!$A$2:$A$81,0))</x:f>
        <x:v>Customer 57</x:v>
      </x:c>
      <x:c r="E359" t="str">
        <x:f>INDEX(Customers!$C$2:$C$81,MATCH(C359,Customers!$A$2:$A$81,0))</x:f>
        <x:v>Small Business</x:v>
      </x:c>
      <x:c r="F359" t="str">
        <x:f>INDEX(Customers!$D$2:$D$81,MATCH(C359,Customers!$A$2:$A$81,0))</x:f>
        <x:v>North</x:v>
      </x:c>
      <x:c r="G359" t="str">
        <x:f>Raw_Orders!D359</x:f>
        <x:v>P006</x:v>
      </x:c>
      <x:c r="H359" t="str">
        <x:f>INDEX(Products!$B$2:$B$13,MATCH(G359,Products!$A$2:$A$13,0))</x:f>
        <x:v>Laptop Stand</x:v>
      </x:c>
      <x:c r="I359" t="str">
        <x:f>INDEX(Products!$C$2:$C$13,MATCH(G359,Products!$A$2:$A$13,0))</x:f>
        <x:v>Office</x:v>
      </x:c>
      <x:c r="J359" t="str">
        <x:f>Raw_Orders!G359</x:f>
        <x:v>Partner</x:v>
      </x:c>
      <x:c r="K359" t="n">
        <x:f>Raw_Orders!E359</x:f>
        <x:v>4</x:v>
      </x:c>
      <x:c r="L359" s="12" t="n">
        <x:f>Raw_Orders!F359</x:f>
        <x:v>0</x:v>
      </x:c>
      <x:c r="M359" s="14" t="n">
        <x:f>INDEX(Products!$D$2:$D$13,MATCH(G359,Products!$A$2:$A$13,0))</x:f>
        <x:v>55</x:v>
      </x:c>
      <x:c r="N359" s="14" t="n">
        <x:f>INDEX(Products!$E$2:$E$13,MATCH(G359,Products!$A$2:$A$13,0))</x:f>
        <x:v>24</x:v>
      </x:c>
      <x:c r="O359" s="14" t="n">
        <x:f>K359*M359</x:f>
        <x:v>220</x:v>
      </x:c>
      <x:c r="P359" s="14" t="n">
        <x:f>O359*(1-L359)</x:f>
        <x:v>220</x:v>
      </x:c>
      <x:c r="Q359" s="14" t="n">
        <x:f>K359*N359</x:f>
        <x:v>96</x:v>
      </x:c>
      <x:c r="R359" s="14" t="n">
        <x:f>P359-Q359</x:f>
        <x:v>124</x:v>
      </x:c>
      <x:c r="S359" s="16" t="n">
        <x:f>IFERROR(R359/P359,0)</x:f>
        <x:v>0.5636363636363636</x:v>
      </x:c>
    </x:row>
    <x:row r="360" ht="15" hidden="0" customHeight="1">
      <x:c r="A360" t="str">
        <x:f>Raw_Orders!A360</x:f>
        <x:v>O0359</x:v>
      </x:c>
      <x:c r="B360" s="10" t="n">
        <x:f>Raw_Orders!B360</x:f>
        <x:v>45838</x:v>
      </x:c>
      <x:c r="C360" t="str">
        <x:f>Raw_Orders!C360</x:f>
        <x:v>C079</x:v>
      </x:c>
      <x:c r="D360" t="str">
        <x:f>INDEX(Customers!$B$2:$B$81,MATCH(C360,Customers!$A$2:$A$81,0))</x:f>
        <x:v>Customer 79</x:v>
      </x:c>
      <x:c r="E360" t="str">
        <x:f>INDEX(Customers!$C$2:$C$81,MATCH(C360,Customers!$A$2:$A$81,0))</x:f>
        <x:v>Consumer</x:v>
      </x:c>
      <x:c r="F360" t="str">
        <x:f>INDEX(Customers!$D$2:$D$81,MATCH(C360,Customers!$A$2:$A$81,0))</x:f>
        <x:v>East</x:v>
      </x:c>
      <x:c r="G360" t="str">
        <x:f>Raw_Orders!D360</x:f>
        <x:v>P007</x:v>
      </x:c>
      <x:c r="H360" t="str">
        <x:f>INDEX(Products!$B$2:$B$13,MATCH(G360,Products!$A$2:$A$13,0))</x:f>
        <x:v>Ergonomic Chair</x:v>
      </x:c>
      <x:c r="I360" t="str">
        <x:f>INDEX(Products!$C$2:$C$13,MATCH(G360,Products!$A$2:$A$13,0))</x:f>
        <x:v>Office</x:v>
      </x:c>
      <x:c r="J360" t="str">
        <x:f>Raw_Orders!G360</x:f>
        <x:v>Online</x:v>
      </x:c>
      <x:c r="K360" t="n">
        <x:f>Raw_Orders!E360</x:f>
        <x:v>3</x:v>
      </x:c>
      <x:c r="L360" s="12" t="n">
        <x:f>Raw_Orders!F360</x:f>
        <x:v>0.15</x:v>
      </x:c>
      <x:c r="M360" s="14" t="n">
        <x:f>INDEX(Products!$D$2:$D$13,MATCH(G360,Products!$A$2:$A$13,0))</x:f>
        <x:v>390</x:v>
      </x:c>
      <x:c r="N360" s="14" t="n">
        <x:f>INDEX(Products!$E$2:$E$13,MATCH(G360,Products!$A$2:$A$13,0))</x:f>
        <x:v>245</x:v>
      </x:c>
      <x:c r="O360" s="14" t="n">
        <x:f>K360*M360</x:f>
        <x:v>1170</x:v>
      </x:c>
      <x:c r="P360" s="14" t="n">
        <x:f>O360*(1-L360)</x:f>
        <x:v>994.5</x:v>
      </x:c>
      <x:c r="Q360" s="14" t="n">
        <x:f>K360*N360</x:f>
        <x:v>735</x:v>
      </x:c>
      <x:c r="R360" s="14" t="n">
        <x:f>P360-Q360</x:f>
        <x:v>259.5</x:v>
      </x:c>
      <x:c r="S360" s="16" t="n">
        <x:f>IFERROR(R360/P360,0)</x:f>
        <x:v>0.2609351432880845</x:v>
      </x:c>
    </x:row>
    <x:row r="361" ht="15" hidden="0" customHeight="1">
      <x:c r="A361" t="str">
        <x:f>Raw_Orders!A361</x:f>
        <x:v>O0360</x:v>
      </x:c>
      <x:c r="B361" s="10" t="n">
        <x:f>Raw_Orders!B361</x:f>
        <x:v>45696</x:v>
      </x:c>
      <x:c r="C361" t="str">
        <x:f>Raw_Orders!C361</x:f>
        <x:v>C052</x:v>
      </x:c>
      <x:c r="D361" t="str">
        <x:f>INDEX(Customers!$B$2:$B$81,MATCH(C361,Customers!$A$2:$A$81,0))</x:f>
        <x:v>Customer 52</x:v>
      </x:c>
      <x:c r="E361" t="str">
        <x:f>INDEX(Customers!$C$2:$C$81,MATCH(C361,Customers!$A$2:$A$81,0))</x:f>
        <x:v>Consumer</x:v>
      </x:c>
      <x:c r="F361" t="str">
        <x:f>INDEX(Customers!$D$2:$D$81,MATCH(C361,Customers!$A$2:$A$81,0))</x:f>
        <x:v>West</x:v>
      </x:c>
      <x:c r="G361" t="str">
        <x:f>Raw_Orders!D361</x:f>
        <x:v>P006</x:v>
      </x:c>
      <x:c r="H361" t="str">
        <x:f>INDEX(Products!$B$2:$B$13,MATCH(G361,Products!$A$2:$A$13,0))</x:f>
        <x:v>Laptop Stand</x:v>
      </x:c>
      <x:c r="I361" t="str">
        <x:f>INDEX(Products!$C$2:$C$13,MATCH(G361,Products!$A$2:$A$13,0))</x:f>
        <x:v>Office</x:v>
      </x:c>
      <x:c r="J361" t="str">
        <x:f>Raw_Orders!G361</x:f>
        <x:v>Partner</x:v>
      </x:c>
      <x:c r="K361" t="n">
        <x:f>Raw_Orders!E361</x:f>
        <x:v>5</x:v>
      </x:c>
      <x:c r="L361" s="12" t="n">
        <x:f>Raw_Orders!F361</x:f>
        <x:v>0.15</x:v>
      </x:c>
      <x:c r="M361" s="14" t="n">
        <x:f>INDEX(Products!$D$2:$D$13,MATCH(G361,Products!$A$2:$A$13,0))</x:f>
        <x:v>55</x:v>
      </x:c>
      <x:c r="N361" s="14" t="n">
        <x:f>INDEX(Products!$E$2:$E$13,MATCH(G361,Products!$A$2:$A$13,0))</x:f>
        <x:v>24</x:v>
      </x:c>
      <x:c r="O361" s="14" t="n">
        <x:f>K361*M361</x:f>
        <x:v>275</x:v>
      </x:c>
      <x:c r="P361" s="14" t="n">
        <x:f>O361*(1-L361)</x:f>
        <x:v>233.75</x:v>
      </x:c>
      <x:c r="Q361" s="14" t="n">
        <x:f>K361*N361</x:f>
        <x:v>120</x:v>
      </x:c>
      <x:c r="R361" s="14" t="n">
        <x:f>P361-Q361</x:f>
        <x:v>113.75</x:v>
      </x:c>
      <x:c r="S361" s="16" t="n">
        <x:f>IFERROR(R361/P361,0)</x:f>
        <x:v>0.48663101604278075</x:v>
      </x:c>
    </x:row>
    <x:row r="362" ht="15" hidden="0" customHeight="1">
      <x:c r="A362" t="str">
        <x:f>Raw_Orders!A362</x:f>
        <x:v>O0361</x:v>
      </x:c>
      <x:c r="B362" s="10" t="n">
        <x:f>Raw_Orders!B362</x:f>
        <x:v>45739</x:v>
      </x:c>
      <x:c r="C362" t="str">
        <x:f>Raw_Orders!C362</x:f>
        <x:v>C004</x:v>
      </x:c>
      <x:c r="D362" t="str">
        <x:f>INDEX(Customers!$B$2:$B$81,MATCH(C362,Customers!$A$2:$A$81,0))</x:f>
        <x:v>Customer 04</x:v>
      </x:c>
      <x:c r="E362" t="str">
        <x:f>INDEX(Customers!$C$2:$C$81,MATCH(C362,Customers!$A$2:$A$81,0))</x:f>
        <x:v>Consumer</x:v>
      </x:c>
      <x:c r="F362" t="str">
        <x:f>INDEX(Customers!$D$2:$D$81,MATCH(C362,Customers!$A$2:$A$81,0))</x:f>
        <x:v>West</x:v>
      </x:c>
      <x:c r="G362" t="str">
        <x:f>Raw_Orders!D362</x:f>
        <x:v>P003</x:v>
      </x:c>
      <x:c r="H362" t="str">
        <x:f>INDEX(Products!$B$2:$B$13,MATCH(G362,Products!$A$2:$A$13,0))</x:f>
        <x:v>USB-C Hub</x:v>
      </x:c>
      <x:c r="I362" t="str">
        <x:f>INDEX(Products!$C$2:$C$13,MATCH(G362,Products!$A$2:$A$13,0))</x:f>
        <x:v>Accessories</x:v>
      </x:c>
      <x:c r="J362" t="str">
        <x:f>Raw_Orders!G362</x:f>
        <x:v>Retail</x:v>
      </x:c>
      <x:c r="K362" t="n">
        <x:f>Raw_Orders!E362</x:f>
        <x:v>5</x:v>
      </x:c>
      <x:c r="L362" s="12" t="n">
        <x:f>Raw_Orders!F362</x:f>
        <x:v>0.15</x:v>
      </x:c>
      <x:c r="M362" s="14" t="n">
        <x:f>INDEX(Products!$D$2:$D$13,MATCH(G362,Products!$A$2:$A$13,0))</x:f>
        <x:v>65</x:v>
      </x:c>
      <x:c r="N362" s="14" t="n">
        <x:f>INDEX(Products!$E$2:$E$13,MATCH(G362,Products!$A$2:$A$13,0))</x:f>
        <x:v>31</x:v>
      </x:c>
      <x:c r="O362" s="14" t="n">
        <x:f>K362*M362</x:f>
        <x:v>325</x:v>
      </x:c>
      <x:c r="P362" s="14" t="n">
        <x:f>O362*(1-L362)</x:f>
        <x:v>276.25</x:v>
      </x:c>
      <x:c r="Q362" s="14" t="n">
        <x:f>K362*N362</x:f>
        <x:v>155</x:v>
      </x:c>
      <x:c r="R362" s="14" t="n">
        <x:f>P362-Q362</x:f>
        <x:v>121.25</x:v>
      </x:c>
      <x:c r="S362" s="16" t="n">
        <x:f>IFERROR(R362/P362,0)</x:f>
        <x:v>0.43891402714932126</x:v>
      </x:c>
    </x:row>
    <x:row r="363" ht="15" hidden="0" customHeight="1">
      <x:c r="A363" t="str">
        <x:f>Raw_Orders!A363</x:f>
        <x:v>O0362</x:v>
      </x:c>
      <x:c r="B363" s="10" t="n">
        <x:f>Raw_Orders!B363</x:f>
        <x:v>45675</x:v>
      </x:c>
      <x:c r="C363" t="str">
        <x:f>Raw_Orders!C363</x:f>
        <x:v>C017</x:v>
      </x:c>
      <x:c r="D363" t="str">
        <x:f>INDEX(Customers!$B$2:$B$81,MATCH(C363,Customers!$A$2:$A$81,0))</x:f>
        <x:v>Customer 17</x:v>
      </x:c>
      <x:c r="E363" t="str">
        <x:f>INDEX(Customers!$C$2:$C$81,MATCH(C363,Customers!$A$2:$A$81,0))</x:f>
        <x:v>Corporate</x:v>
      </x:c>
      <x:c r="F363" t="str">
        <x:f>INDEX(Customers!$D$2:$D$81,MATCH(C363,Customers!$A$2:$A$81,0))</x:f>
        <x:v>North</x:v>
      </x:c>
      <x:c r="G363" t="str">
        <x:f>Raw_Orders!D363</x:f>
        <x:v>P002</x:v>
      </x:c>
      <x:c r="H363" t="str">
        <x:f>INDEX(Products!$B$2:$B$13,MATCH(G363,Products!$A$2:$A$13,0))</x:f>
        <x:v>Mechanical Keyboard</x:v>
      </x:c>
      <x:c r="I363" t="str">
        <x:f>INDEX(Products!$C$2:$C$13,MATCH(G363,Products!$A$2:$A$13,0))</x:f>
        <x:v>Accessories</x:v>
      </x:c>
      <x:c r="J363" t="str">
        <x:f>Raw_Orders!G363</x:f>
        <x:v>Retail</x:v>
      </x:c>
      <x:c r="K363" t="n">
        <x:f>Raw_Orders!E363</x:f>
        <x:v>2</x:v>
      </x:c>
      <x:c r="L363" s="12" t="n">
        <x:f>Raw_Orders!F363</x:f>
        <x:v>0.15</x:v>
      </x:c>
      <x:c r="M363" s="14" t="n">
        <x:f>INDEX(Products!$D$2:$D$13,MATCH(G363,Products!$A$2:$A$13,0))</x:f>
        <x:v>110</x:v>
      </x:c>
      <x:c r="N363" s="14" t="n">
        <x:f>INDEX(Products!$E$2:$E$13,MATCH(G363,Products!$A$2:$A$13,0))</x:f>
        <x:v>58</x:v>
      </x:c>
      <x:c r="O363" s="14" t="n">
        <x:f>K363*M363</x:f>
        <x:v>220</x:v>
      </x:c>
      <x:c r="P363" s="14" t="n">
        <x:f>O363*(1-L363)</x:f>
        <x:v>187</x:v>
      </x:c>
      <x:c r="Q363" s="14" t="n">
        <x:f>K363*N363</x:f>
        <x:v>116</x:v>
      </x:c>
      <x:c r="R363" s="14" t="n">
        <x:f>P363-Q363</x:f>
        <x:v>71</x:v>
      </x:c>
      <x:c r="S363" s="16" t="n">
        <x:f>IFERROR(R363/P363,0)</x:f>
        <x:v>0.37967914438502676</x:v>
      </x:c>
    </x:row>
    <x:row r="364" ht="15" hidden="0" customHeight="1">
      <x:c r="A364" t="str">
        <x:f>Raw_Orders!A364</x:f>
        <x:v>O0363</x:v>
      </x:c>
      <x:c r="B364" s="10" t="n">
        <x:f>Raw_Orders!B364</x:f>
        <x:v>45843</x:v>
      </x:c>
      <x:c r="C364" t="str">
        <x:f>Raw_Orders!C364</x:f>
        <x:v>C050</x:v>
      </x:c>
      <x:c r="D364" t="str">
        <x:f>INDEX(Customers!$B$2:$B$81,MATCH(C364,Customers!$A$2:$A$81,0))</x:f>
        <x:v>Customer 50</x:v>
      </x:c>
      <x:c r="E364" t="str">
        <x:f>INDEX(Customers!$C$2:$C$81,MATCH(C364,Customers!$A$2:$A$81,0))</x:f>
        <x:v>Corporate</x:v>
      </x:c>
      <x:c r="F364" t="str">
        <x:f>INDEX(Customers!$D$2:$D$81,MATCH(C364,Customers!$A$2:$A$81,0))</x:f>
        <x:v>South</x:v>
      </x:c>
      <x:c r="G364" t="str">
        <x:f>Raw_Orders!D364</x:f>
        <x:v>P010</x:v>
      </x:c>
      <x:c r="H364" t="str">
        <x:f>INDEX(Products!$B$2:$B$13,MATCH(G364,Products!$A$2:$A$13,0))</x:f>
        <x:v>Portable SSD</x:v>
      </x:c>
      <x:c r="I364" t="str">
        <x:f>INDEX(Products!$C$2:$C$13,MATCH(G364,Products!$A$2:$A$13,0))</x:f>
        <x:v>Storage</x:v>
      </x:c>
      <x:c r="J364" t="str">
        <x:f>Raw_Orders!G364</x:f>
        <x:v>Online</x:v>
      </x:c>
      <x:c r="K364" t="n">
        <x:f>Raw_Orders!E364</x:f>
        <x:v>1</x:v>
      </x:c>
      <x:c r="L364" s="12" t="n">
        <x:f>Raw_Orders!F364</x:f>
        <x:v>0.1</x:v>
      </x:c>
      <x:c r="M364" s="14" t="n">
        <x:f>INDEX(Products!$D$2:$D$13,MATCH(G364,Products!$A$2:$A$13,0))</x:f>
        <x:v>145</x:v>
      </x:c>
      <x:c r="N364" s="14" t="n">
        <x:f>INDEX(Products!$E$2:$E$13,MATCH(G364,Products!$A$2:$A$13,0))</x:f>
        <x:v>86</x:v>
      </x:c>
      <x:c r="O364" s="14" t="n">
        <x:f>K364*M364</x:f>
        <x:v>145</x:v>
      </x:c>
      <x:c r="P364" s="14" t="n">
        <x:f>O364*(1-L364)</x:f>
        <x:v>130.5</x:v>
      </x:c>
      <x:c r="Q364" s="14" t="n">
        <x:f>K364*N364</x:f>
        <x:v>86</x:v>
      </x:c>
      <x:c r="R364" s="14" t="n">
        <x:f>P364-Q364</x:f>
        <x:v>44.5</x:v>
      </x:c>
      <x:c r="S364" s="16" t="n">
        <x:f>IFERROR(R364/P364,0)</x:f>
        <x:v>0.34099616858237547</x:v>
      </x:c>
    </x:row>
    <x:row r="365" ht="15" hidden="0" customHeight="1">
      <x:c r="A365" t="str">
        <x:f>Raw_Orders!A365</x:f>
        <x:v>O0364</x:v>
      </x:c>
      <x:c r="B365" s="10" t="n">
        <x:f>Raw_Orders!B365</x:f>
        <x:v>46005</x:v>
      </x:c>
      <x:c r="C365" t="str">
        <x:f>Raw_Orders!C365</x:f>
        <x:v>C058</x:v>
      </x:c>
      <x:c r="D365" t="str">
        <x:f>INDEX(Customers!$B$2:$B$81,MATCH(C365,Customers!$A$2:$A$81,0))</x:f>
        <x:v>Customer 58</x:v>
      </x:c>
      <x:c r="E365" t="str">
        <x:f>INDEX(Customers!$C$2:$C$81,MATCH(C365,Customers!$A$2:$A$81,0))</x:f>
        <x:v>Consumer</x:v>
      </x:c>
      <x:c r="F365" t="str">
        <x:f>INDEX(Customers!$D$2:$D$81,MATCH(C365,Customers!$A$2:$A$81,0))</x:f>
        <x:v>South</x:v>
      </x:c>
      <x:c r="G365" t="str">
        <x:f>Raw_Orders!D365</x:f>
        <x:v>P006</x:v>
      </x:c>
      <x:c r="H365" t="str">
        <x:f>INDEX(Products!$B$2:$B$13,MATCH(G365,Products!$A$2:$A$13,0))</x:f>
        <x:v>Laptop Stand</x:v>
      </x:c>
      <x:c r="I365" t="str">
        <x:f>INDEX(Products!$C$2:$C$13,MATCH(G365,Products!$A$2:$A$13,0))</x:f>
        <x:v>Office</x:v>
      </x:c>
      <x:c r="J365" t="str">
        <x:f>Raw_Orders!G365</x:f>
        <x:v>Online</x:v>
      </x:c>
      <x:c r="K365" t="n">
        <x:f>Raw_Orders!E365</x:f>
        <x:v>3</x:v>
      </x:c>
      <x:c r="L365" s="12" t="n">
        <x:f>Raw_Orders!F365</x:f>
        <x:v>0.05</x:v>
      </x:c>
      <x:c r="M365" s="14" t="n">
        <x:f>INDEX(Products!$D$2:$D$13,MATCH(G365,Products!$A$2:$A$13,0))</x:f>
        <x:v>55</x:v>
      </x:c>
      <x:c r="N365" s="14" t="n">
        <x:f>INDEX(Products!$E$2:$E$13,MATCH(G365,Products!$A$2:$A$13,0))</x:f>
        <x:v>24</x:v>
      </x:c>
      <x:c r="O365" s="14" t="n">
        <x:f>K365*M365</x:f>
        <x:v>165</x:v>
      </x:c>
      <x:c r="P365" s="14" t="n">
        <x:f>O365*(1-L365)</x:f>
        <x:v>156.75</x:v>
      </x:c>
      <x:c r="Q365" s="14" t="n">
        <x:f>K365*N365</x:f>
        <x:v>72</x:v>
      </x:c>
      <x:c r="R365" s="14" t="n">
        <x:f>P365-Q365</x:f>
        <x:v>84.75</x:v>
      </x:c>
      <x:c r="S365" s="16" t="n">
        <x:f>IFERROR(R365/P365,0)</x:f>
        <x:v>0.5406698564593302</x:v>
      </x:c>
    </x:row>
    <x:row r="366" ht="15" hidden="0" customHeight="1">
      <x:c r="A366" t="str">
        <x:f>Raw_Orders!A366</x:f>
        <x:v>O0365</x:v>
      </x:c>
      <x:c r="B366" s="10" t="n">
        <x:f>Raw_Orders!B366</x:f>
        <x:v>45951</x:v>
      </x:c>
      <x:c r="C366" t="str">
        <x:f>Raw_Orders!C366</x:f>
        <x:v>C018</x:v>
      </x:c>
      <x:c r="D366" t="str">
        <x:f>INDEX(Customers!$B$2:$B$81,MATCH(C366,Customers!$A$2:$A$81,0))</x:f>
        <x:v>Customer 18</x:v>
      </x:c>
      <x:c r="E366" t="str">
        <x:f>INDEX(Customers!$C$2:$C$81,MATCH(C366,Customers!$A$2:$A$81,0))</x:f>
        <x:v>Small Business</x:v>
      </x:c>
      <x:c r="F366" t="str">
        <x:f>INDEX(Customers!$D$2:$D$81,MATCH(C366,Customers!$A$2:$A$81,0))</x:f>
        <x:v>South</x:v>
      </x:c>
      <x:c r="G366" t="str">
        <x:f>Raw_Orders!D366</x:f>
        <x:v>P009</x:v>
      </x:c>
      <x:c r="H366" t="str">
        <x:f>INDEX(Products!$B$2:$B$13,MATCH(G366,Products!$A$2:$A$13,0))</x:f>
        <x:v>Desk Lamp</x:v>
      </x:c>
      <x:c r="I366" t="str">
        <x:f>INDEX(Products!$C$2:$C$13,MATCH(G366,Products!$A$2:$A$13,0))</x:f>
        <x:v>Office</x:v>
      </x:c>
      <x:c r="J366" t="str">
        <x:f>Raw_Orders!G366</x:f>
        <x:v>Retail</x:v>
      </x:c>
      <x:c r="K366" t="n">
        <x:f>Raw_Orders!E366</x:f>
        <x:v>3</x:v>
      </x:c>
      <x:c r="L366" s="12" t="n">
        <x:f>Raw_Orders!F366</x:f>
        <x:v>0.05</x:v>
      </x:c>
      <x:c r="M366" s="14" t="n">
        <x:f>INDEX(Products!$D$2:$D$13,MATCH(G366,Products!$A$2:$A$13,0))</x:f>
        <x:v>70</x:v>
      </x:c>
      <x:c r="N366" s="14" t="n">
        <x:f>INDEX(Products!$E$2:$E$13,MATCH(G366,Products!$A$2:$A$13,0))</x:f>
        <x:v>29</x:v>
      </x:c>
      <x:c r="O366" s="14" t="n">
        <x:f>K366*M366</x:f>
        <x:v>210</x:v>
      </x:c>
      <x:c r="P366" s="14" t="n">
        <x:f>O366*(1-L366)</x:f>
        <x:v>199.5</x:v>
      </x:c>
      <x:c r="Q366" s="14" t="n">
        <x:f>K366*N366</x:f>
        <x:v>87</x:v>
      </x:c>
      <x:c r="R366" s="14" t="n">
        <x:f>P366-Q366</x:f>
        <x:v>112.5</x:v>
      </x:c>
      <x:c r="S366" s="16" t="n">
        <x:f>IFERROR(R366/P366,0)</x:f>
        <x:v>0.5639097744360902</x:v>
      </x:c>
    </x:row>
    <x:row r="367" ht="15" hidden="0" customHeight="1">
      <x:c r="A367" t="str">
        <x:f>Raw_Orders!A367</x:f>
        <x:v>O0366</x:v>
      </x:c>
      <x:c r="B367" s="10" t="n">
        <x:f>Raw_Orders!B367</x:f>
        <x:v>45990</x:v>
      </x:c>
      <x:c r="C367" t="str">
        <x:f>Raw_Orders!C367</x:f>
        <x:v>C036</x:v>
      </x:c>
      <x:c r="D367" t="str">
        <x:f>INDEX(Customers!$B$2:$B$81,MATCH(C367,Customers!$A$2:$A$81,0))</x:f>
        <x:v>Customer 36</x:v>
      </x:c>
      <x:c r="E367" t="str">
        <x:f>INDEX(Customers!$C$2:$C$81,MATCH(C367,Customers!$A$2:$A$81,0))</x:f>
        <x:v>Small Business</x:v>
      </x:c>
      <x:c r="F367" t="str">
        <x:f>INDEX(Customers!$D$2:$D$81,MATCH(C367,Customers!$A$2:$A$81,0))</x:f>
        <x:v>West</x:v>
      </x:c>
      <x:c r="G367" t="str">
        <x:f>Raw_Orders!D367</x:f>
        <x:v>P004</x:v>
      </x:c>
      <x:c r="H367" t="str">
        <x:f>INDEX(Products!$B$2:$B$13,MATCH(G367,Products!$A$2:$A$13,0))</x:f>
        <x:v>24in Monitor</x:v>
      </x:c>
      <x:c r="I367" t="str">
        <x:f>INDEX(Products!$C$2:$C$13,MATCH(G367,Products!$A$2:$A$13,0))</x:f>
        <x:v>Displays</x:v>
      </x:c>
      <x:c r="J367" t="str">
        <x:f>Raw_Orders!G367</x:f>
        <x:v>Partner</x:v>
      </x:c>
      <x:c r="K367" t="n">
        <x:f>Raw_Orders!E367</x:f>
        <x:v>1</x:v>
      </x:c>
      <x:c r="L367" s="12" t="n">
        <x:f>Raw_Orders!F367</x:f>
        <x:v>0</x:v>
      </x:c>
      <x:c r="M367" s="14" t="n">
        <x:f>INDEX(Products!$D$2:$D$13,MATCH(G367,Products!$A$2:$A$13,0))</x:f>
        <x:v>220</x:v>
      </x:c>
      <x:c r="N367" s="14" t="n">
        <x:f>INDEX(Products!$E$2:$E$13,MATCH(G367,Products!$A$2:$A$13,0))</x:f>
        <x:v>142</x:v>
      </x:c>
      <x:c r="O367" s="14" t="n">
        <x:f>K367*M367</x:f>
        <x:v>220</x:v>
      </x:c>
      <x:c r="P367" s="14" t="n">
        <x:f>O367*(1-L367)</x:f>
        <x:v>220</x:v>
      </x:c>
      <x:c r="Q367" s="14" t="n">
        <x:f>K367*N367</x:f>
        <x:v>142</x:v>
      </x:c>
      <x:c r="R367" s="14" t="n">
        <x:f>P367-Q367</x:f>
        <x:v>78</x:v>
      </x:c>
      <x:c r="S367" s="16" t="n">
        <x:f>IFERROR(R367/P367,0)</x:f>
        <x:v>0.35454545454545455</x:v>
      </x:c>
    </x:row>
    <x:row r="368" ht="15" hidden="0" customHeight="1">
      <x:c r="A368" t="str">
        <x:f>Raw_Orders!A368</x:f>
        <x:v>O0367</x:v>
      </x:c>
      <x:c r="B368" s="10" t="n">
        <x:f>Raw_Orders!B368</x:f>
        <x:v>45753</x:v>
      </x:c>
      <x:c r="C368" t="str">
        <x:f>Raw_Orders!C368</x:f>
        <x:v>C064</x:v>
      </x:c>
      <x:c r="D368" t="str">
        <x:f>INDEX(Customers!$B$2:$B$81,MATCH(C368,Customers!$A$2:$A$81,0))</x:f>
        <x:v>Customer 64</x:v>
      </x:c>
      <x:c r="E368" t="str">
        <x:f>INDEX(Customers!$C$2:$C$81,MATCH(C368,Customers!$A$2:$A$81,0))</x:f>
        <x:v>Consumer</x:v>
      </x:c>
      <x:c r="F368" t="str">
        <x:f>INDEX(Customers!$D$2:$D$81,MATCH(C368,Customers!$A$2:$A$81,0))</x:f>
        <x:v>West</x:v>
      </x:c>
      <x:c r="G368" t="str">
        <x:f>Raw_Orders!D368</x:f>
        <x:v>P009</x:v>
      </x:c>
      <x:c r="H368" t="str">
        <x:f>INDEX(Products!$B$2:$B$13,MATCH(G368,Products!$A$2:$A$13,0))</x:f>
        <x:v>Desk Lamp</x:v>
      </x:c>
      <x:c r="I368" t="str">
        <x:f>INDEX(Products!$C$2:$C$13,MATCH(G368,Products!$A$2:$A$13,0))</x:f>
        <x:v>Office</x:v>
      </x:c>
      <x:c r="J368" t="str">
        <x:f>Raw_Orders!G368</x:f>
        <x:v>Online</x:v>
      </x:c>
      <x:c r="K368" t="n">
        <x:f>Raw_Orders!E368</x:f>
        <x:v>4</x:v>
      </x:c>
      <x:c r="L368" s="12" t="n">
        <x:f>Raw_Orders!F368</x:f>
        <x:v>0.1</x:v>
      </x:c>
      <x:c r="M368" s="14" t="n">
        <x:f>INDEX(Products!$D$2:$D$13,MATCH(G368,Products!$A$2:$A$13,0))</x:f>
        <x:v>70</x:v>
      </x:c>
      <x:c r="N368" s="14" t="n">
        <x:f>INDEX(Products!$E$2:$E$13,MATCH(G368,Products!$A$2:$A$13,0))</x:f>
        <x:v>29</x:v>
      </x:c>
      <x:c r="O368" s="14" t="n">
        <x:f>K368*M368</x:f>
        <x:v>280</x:v>
      </x:c>
      <x:c r="P368" s="14" t="n">
        <x:f>O368*(1-L368)</x:f>
        <x:v>252</x:v>
      </x:c>
      <x:c r="Q368" s="14" t="n">
        <x:f>K368*N368</x:f>
        <x:v>116</x:v>
      </x:c>
      <x:c r="R368" s="14" t="n">
        <x:f>P368-Q368</x:f>
        <x:v>136</x:v>
      </x:c>
      <x:c r="S368" s="16" t="n">
        <x:f>IFERROR(R368/P368,0)</x:f>
        <x:v>0.5396825396825397</x:v>
      </x:c>
    </x:row>
    <x:row r="369" ht="15" hidden="0" customHeight="1">
      <x:c r="A369" t="str">
        <x:f>Raw_Orders!A369</x:f>
        <x:v>O0368</x:v>
      </x:c>
      <x:c r="B369" s="10" t="n">
        <x:f>Raw_Orders!B369</x:f>
        <x:v>45792</x:v>
      </x:c>
      <x:c r="C369" t="str">
        <x:f>Raw_Orders!C369</x:f>
        <x:v>C034</x:v>
      </x:c>
      <x:c r="D369" t="str">
        <x:f>INDEX(Customers!$B$2:$B$81,MATCH(C369,Customers!$A$2:$A$81,0))</x:f>
        <x:v>Customer 34</x:v>
      </x:c>
      <x:c r="E369" t="str">
        <x:f>INDEX(Customers!$C$2:$C$81,MATCH(C369,Customers!$A$2:$A$81,0))</x:f>
        <x:v>Consumer</x:v>
      </x:c>
      <x:c r="F369" t="str">
        <x:f>INDEX(Customers!$D$2:$D$81,MATCH(C369,Customers!$A$2:$A$81,0))</x:f>
        <x:v>South</x:v>
      </x:c>
      <x:c r="G369" t="str">
        <x:f>Raw_Orders!D369</x:f>
        <x:v>P012</x:v>
      </x:c>
      <x:c r="H369" t="str">
        <x:f>INDEX(Products!$B$2:$B$13,MATCH(G369,Products!$A$2:$A$13,0))</x:f>
        <x:v>Docking Station</x:v>
      </x:c>
      <x:c r="I369" t="str">
        <x:f>INDEX(Products!$C$2:$C$13,MATCH(G369,Products!$A$2:$A$13,0))</x:f>
        <x:v>Accessories</x:v>
      </x:c>
      <x:c r="J369" t="str">
        <x:f>Raw_Orders!G369</x:f>
        <x:v>Partner</x:v>
      </x:c>
      <x:c r="K369" t="n">
        <x:f>Raw_Orders!E369</x:f>
        <x:v>4</x:v>
      </x:c>
      <x:c r="L369" s="12" t="n">
        <x:f>Raw_Orders!F369</x:f>
        <x:v>0</x:v>
      </x:c>
      <x:c r="M369" s="14" t="n">
        <x:f>INDEX(Products!$D$2:$D$13,MATCH(G369,Products!$A$2:$A$13,0))</x:f>
        <x:v>180</x:v>
      </x:c>
      <x:c r="N369" s="14" t="n">
        <x:f>INDEX(Products!$E$2:$E$13,MATCH(G369,Products!$A$2:$A$13,0))</x:f>
        <x:v>104</x:v>
      </x:c>
      <x:c r="O369" s="14" t="n">
        <x:f>K369*M369</x:f>
        <x:v>720</x:v>
      </x:c>
      <x:c r="P369" s="14" t="n">
        <x:f>O369*(1-L369)</x:f>
        <x:v>720</x:v>
      </x:c>
      <x:c r="Q369" s="14" t="n">
        <x:f>K369*N369</x:f>
        <x:v>416</x:v>
      </x:c>
      <x:c r="R369" s="14" t="n">
        <x:f>P369-Q369</x:f>
        <x:v>304</x:v>
      </x:c>
      <x:c r="S369" s="16" t="n">
        <x:f>IFERROR(R369/P369,0)</x:f>
        <x:v>0.4222222222222222</x:v>
      </x:c>
    </x:row>
    <x:row r="370" ht="15" hidden="0" customHeight="1">
      <x:c r="A370" t="str">
        <x:f>Raw_Orders!A370</x:f>
        <x:v>O0369</x:v>
      </x:c>
      <x:c r="B370" s="10" t="n">
        <x:f>Raw_Orders!B370</x:f>
        <x:v>45804</x:v>
      </x:c>
      <x:c r="C370" t="str">
        <x:f>Raw_Orders!C370</x:f>
        <x:v>C063</x:v>
      </x:c>
      <x:c r="D370" t="str">
        <x:f>INDEX(Customers!$B$2:$B$81,MATCH(C370,Customers!$A$2:$A$81,0))</x:f>
        <x:v>Customer 63</x:v>
      </x:c>
      <x:c r="E370" t="str">
        <x:f>INDEX(Customers!$C$2:$C$81,MATCH(C370,Customers!$A$2:$A$81,0))</x:f>
        <x:v>Small Business</x:v>
      </x:c>
      <x:c r="F370" t="str">
        <x:f>INDEX(Customers!$D$2:$D$81,MATCH(C370,Customers!$A$2:$A$81,0))</x:f>
        <x:v>East</x:v>
      </x:c>
      <x:c r="G370" t="str">
        <x:f>Raw_Orders!D370</x:f>
        <x:v>P004</x:v>
      </x:c>
      <x:c r="H370" t="str">
        <x:f>INDEX(Products!$B$2:$B$13,MATCH(G370,Products!$A$2:$A$13,0))</x:f>
        <x:v>24in Monitor</x:v>
      </x:c>
      <x:c r="I370" t="str">
        <x:f>INDEX(Products!$C$2:$C$13,MATCH(G370,Products!$A$2:$A$13,0))</x:f>
        <x:v>Displays</x:v>
      </x:c>
      <x:c r="J370" t="str">
        <x:f>Raw_Orders!G370</x:f>
        <x:v>Online</x:v>
      </x:c>
      <x:c r="K370" t="n">
        <x:f>Raw_Orders!E370</x:f>
        <x:v>1</x:v>
      </x:c>
      <x:c r="L370" s="12" t="n">
        <x:f>Raw_Orders!F370</x:f>
        <x:v>0</x:v>
      </x:c>
      <x:c r="M370" s="14" t="n">
        <x:f>INDEX(Products!$D$2:$D$13,MATCH(G370,Products!$A$2:$A$13,0))</x:f>
        <x:v>220</x:v>
      </x:c>
      <x:c r="N370" s="14" t="n">
        <x:f>INDEX(Products!$E$2:$E$13,MATCH(G370,Products!$A$2:$A$13,0))</x:f>
        <x:v>142</x:v>
      </x:c>
      <x:c r="O370" s="14" t="n">
        <x:f>K370*M370</x:f>
        <x:v>220</x:v>
      </x:c>
      <x:c r="P370" s="14" t="n">
        <x:f>O370*(1-L370)</x:f>
        <x:v>220</x:v>
      </x:c>
      <x:c r="Q370" s="14" t="n">
        <x:f>K370*N370</x:f>
        <x:v>142</x:v>
      </x:c>
      <x:c r="R370" s="14" t="n">
        <x:f>P370-Q370</x:f>
        <x:v>78</x:v>
      </x:c>
      <x:c r="S370" s="16" t="n">
        <x:f>IFERROR(R370/P370,0)</x:f>
        <x:v>0.35454545454545455</x:v>
      </x:c>
    </x:row>
    <x:row r="371" ht="15" hidden="0" customHeight="1">
      <x:c r="A371" t="str">
        <x:f>Raw_Orders!A371</x:f>
        <x:v>O0370</x:v>
      </x:c>
      <x:c r="B371" s="10" t="n">
        <x:f>Raw_Orders!B371</x:f>
        <x:v>45889</x:v>
      </x:c>
      <x:c r="C371" t="str">
        <x:f>Raw_Orders!C371</x:f>
        <x:v>C023</x:v>
      </x:c>
      <x:c r="D371" t="str">
        <x:f>INDEX(Customers!$B$2:$B$81,MATCH(C371,Customers!$A$2:$A$81,0))</x:f>
        <x:v>Customer 23</x:v>
      </x:c>
      <x:c r="E371" t="str">
        <x:f>INDEX(Customers!$C$2:$C$81,MATCH(C371,Customers!$A$2:$A$81,0))</x:f>
        <x:v>Corporate</x:v>
      </x:c>
      <x:c r="F371" t="str">
        <x:f>INDEX(Customers!$D$2:$D$81,MATCH(C371,Customers!$A$2:$A$81,0))</x:f>
        <x:v>East</x:v>
      </x:c>
      <x:c r="G371" t="str">
        <x:f>Raw_Orders!D371</x:f>
        <x:v>P012</x:v>
      </x:c>
      <x:c r="H371" t="str">
        <x:f>INDEX(Products!$B$2:$B$13,MATCH(G371,Products!$A$2:$A$13,0))</x:f>
        <x:v>Docking Station</x:v>
      </x:c>
      <x:c r="I371" t="str">
        <x:f>INDEX(Products!$C$2:$C$13,MATCH(G371,Products!$A$2:$A$13,0))</x:f>
        <x:v>Accessories</x:v>
      </x:c>
      <x:c r="J371" t="str">
        <x:f>Raw_Orders!G371</x:f>
        <x:v>Partner</x:v>
      </x:c>
      <x:c r="K371" t="n">
        <x:f>Raw_Orders!E371</x:f>
        <x:v>4</x:v>
      </x:c>
      <x:c r="L371" s="12" t="n">
        <x:f>Raw_Orders!F371</x:f>
        <x:v>0</x:v>
      </x:c>
      <x:c r="M371" s="14" t="n">
        <x:f>INDEX(Products!$D$2:$D$13,MATCH(G371,Products!$A$2:$A$13,0))</x:f>
        <x:v>180</x:v>
      </x:c>
      <x:c r="N371" s="14" t="n">
        <x:f>INDEX(Products!$E$2:$E$13,MATCH(G371,Products!$A$2:$A$13,0))</x:f>
        <x:v>104</x:v>
      </x:c>
      <x:c r="O371" s="14" t="n">
        <x:f>K371*M371</x:f>
        <x:v>720</x:v>
      </x:c>
      <x:c r="P371" s="14" t="n">
        <x:f>O371*(1-L371)</x:f>
        <x:v>720</x:v>
      </x:c>
      <x:c r="Q371" s="14" t="n">
        <x:f>K371*N371</x:f>
        <x:v>416</x:v>
      </x:c>
      <x:c r="R371" s="14" t="n">
        <x:f>P371-Q371</x:f>
        <x:v>304</x:v>
      </x:c>
      <x:c r="S371" s="16" t="n">
        <x:f>IFERROR(R371/P371,0)</x:f>
        <x:v>0.4222222222222222</x:v>
      </x:c>
    </x:row>
    <x:row r="372" ht="15" hidden="0" customHeight="1">
      <x:c r="A372" t="str">
        <x:f>Raw_Orders!A372</x:f>
        <x:v>O0371</x:v>
      </x:c>
      <x:c r="B372" s="10" t="n">
        <x:f>Raw_Orders!B372</x:f>
        <x:v>45821</x:v>
      </x:c>
      <x:c r="C372" t="str">
        <x:f>Raw_Orders!C372</x:f>
        <x:v>C045</x:v>
      </x:c>
      <x:c r="D372" t="str">
        <x:f>INDEX(Customers!$B$2:$B$81,MATCH(C372,Customers!$A$2:$A$81,0))</x:f>
        <x:v>Customer 45</x:v>
      </x:c>
      <x:c r="E372" t="str">
        <x:f>INDEX(Customers!$C$2:$C$81,MATCH(C372,Customers!$A$2:$A$81,0))</x:f>
        <x:v>Small Business</x:v>
      </x:c>
      <x:c r="F372" t="str">
        <x:f>INDEX(Customers!$D$2:$D$81,MATCH(C372,Customers!$A$2:$A$81,0))</x:f>
        <x:v>North</x:v>
      </x:c>
      <x:c r="G372" t="str">
        <x:f>Raw_Orders!D372</x:f>
        <x:v>P012</x:v>
      </x:c>
      <x:c r="H372" t="str">
        <x:f>INDEX(Products!$B$2:$B$13,MATCH(G372,Products!$A$2:$A$13,0))</x:f>
        <x:v>Docking Station</x:v>
      </x:c>
      <x:c r="I372" t="str">
        <x:f>INDEX(Products!$C$2:$C$13,MATCH(G372,Products!$A$2:$A$13,0))</x:f>
        <x:v>Accessories</x:v>
      </x:c>
      <x:c r="J372" t="str">
        <x:f>Raw_Orders!G372</x:f>
        <x:v>Partner</x:v>
      </x:c>
      <x:c r="K372" t="n">
        <x:f>Raw_Orders!E372</x:f>
        <x:v>1</x:v>
      </x:c>
      <x:c r="L372" s="12" t="n">
        <x:f>Raw_Orders!F372</x:f>
        <x:v>0.1</x:v>
      </x:c>
      <x:c r="M372" s="14" t="n">
        <x:f>INDEX(Products!$D$2:$D$13,MATCH(G372,Products!$A$2:$A$13,0))</x:f>
        <x:v>180</x:v>
      </x:c>
      <x:c r="N372" s="14" t="n">
        <x:f>INDEX(Products!$E$2:$E$13,MATCH(G372,Products!$A$2:$A$13,0))</x:f>
        <x:v>104</x:v>
      </x:c>
      <x:c r="O372" s="14" t="n">
        <x:f>K372*M372</x:f>
        <x:v>180</x:v>
      </x:c>
      <x:c r="P372" s="14" t="n">
        <x:f>O372*(1-L372)</x:f>
        <x:v>162</x:v>
      </x:c>
      <x:c r="Q372" s="14" t="n">
        <x:f>K372*N372</x:f>
        <x:v>104</x:v>
      </x:c>
      <x:c r="R372" s="14" t="n">
        <x:f>P372-Q372</x:f>
        <x:v>58</x:v>
      </x:c>
      <x:c r="S372" s="16" t="n">
        <x:f>IFERROR(R372/P372,0)</x:f>
        <x:v>0.35802469135802467</x:v>
      </x:c>
    </x:row>
    <x:row r="373" ht="15" hidden="0" customHeight="1">
      <x:c r="A373" t="str">
        <x:f>Raw_Orders!A373</x:f>
        <x:v>O0372</x:v>
      </x:c>
      <x:c r="B373" s="10" t="n">
        <x:f>Raw_Orders!B373</x:f>
        <x:v>45806</x:v>
      </x:c>
      <x:c r="C373" t="str">
        <x:f>Raw_Orders!C373</x:f>
        <x:v>C039</x:v>
      </x:c>
      <x:c r="D373" t="str">
        <x:f>INDEX(Customers!$B$2:$B$81,MATCH(C373,Customers!$A$2:$A$81,0))</x:f>
        <x:v>Customer 39</x:v>
      </x:c>
      <x:c r="E373" t="str">
        <x:f>INDEX(Customers!$C$2:$C$81,MATCH(C373,Customers!$A$2:$A$81,0))</x:f>
        <x:v>Small Business</x:v>
      </x:c>
      <x:c r="F373" t="str">
        <x:f>INDEX(Customers!$D$2:$D$81,MATCH(C373,Customers!$A$2:$A$81,0))</x:f>
        <x:v>East</x:v>
      </x:c>
      <x:c r="G373" t="str">
        <x:f>Raw_Orders!D373</x:f>
        <x:v>P003</x:v>
      </x:c>
      <x:c r="H373" t="str">
        <x:f>INDEX(Products!$B$2:$B$13,MATCH(G373,Products!$A$2:$A$13,0))</x:f>
        <x:v>USB-C Hub</x:v>
      </x:c>
      <x:c r="I373" t="str">
        <x:f>INDEX(Products!$C$2:$C$13,MATCH(G373,Products!$A$2:$A$13,0))</x:f>
        <x:v>Accessories</x:v>
      </x:c>
      <x:c r="J373" t="str">
        <x:f>Raw_Orders!G373</x:f>
        <x:v>Partner</x:v>
      </x:c>
      <x:c r="K373" t="n">
        <x:f>Raw_Orders!E373</x:f>
        <x:v>6</x:v>
      </x:c>
      <x:c r="L373" s="12" t="n">
        <x:f>Raw_Orders!F373</x:f>
        <x:v>0.15</x:v>
      </x:c>
      <x:c r="M373" s="14" t="n">
        <x:f>INDEX(Products!$D$2:$D$13,MATCH(G373,Products!$A$2:$A$13,0))</x:f>
        <x:v>65</x:v>
      </x:c>
      <x:c r="N373" s="14" t="n">
        <x:f>INDEX(Products!$E$2:$E$13,MATCH(G373,Products!$A$2:$A$13,0))</x:f>
        <x:v>31</x:v>
      </x:c>
      <x:c r="O373" s="14" t="n">
        <x:f>K373*M373</x:f>
        <x:v>390</x:v>
      </x:c>
      <x:c r="P373" s="14" t="n">
        <x:f>O373*(1-L373)</x:f>
        <x:v>331.5</x:v>
      </x:c>
      <x:c r="Q373" s="14" t="n">
        <x:f>K373*N373</x:f>
        <x:v>186</x:v>
      </x:c>
      <x:c r="R373" s="14" t="n">
        <x:f>P373-Q373</x:f>
        <x:v>145.5</x:v>
      </x:c>
      <x:c r="S373" s="16" t="n">
        <x:f>IFERROR(R373/P373,0)</x:f>
        <x:v>0.43891402714932126</x:v>
      </x:c>
    </x:row>
    <x:row r="374" ht="15" hidden="0" customHeight="1">
      <x:c r="A374" t="str">
        <x:f>Raw_Orders!A374</x:f>
        <x:v>O0373</x:v>
      </x:c>
      <x:c r="B374" s="10" t="n">
        <x:f>Raw_Orders!B374</x:f>
        <x:v>45984</x:v>
      </x:c>
      <x:c r="C374" t="str">
        <x:f>Raw_Orders!C374</x:f>
        <x:v>C023</x:v>
      </x:c>
      <x:c r="D374" t="str">
        <x:f>INDEX(Customers!$B$2:$B$81,MATCH(C374,Customers!$A$2:$A$81,0))</x:f>
        <x:v>Customer 23</x:v>
      </x:c>
      <x:c r="E374" t="str">
        <x:f>INDEX(Customers!$C$2:$C$81,MATCH(C374,Customers!$A$2:$A$81,0))</x:f>
        <x:v>Corporate</x:v>
      </x:c>
      <x:c r="F374" t="str">
        <x:f>INDEX(Customers!$D$2:$D$81,MATCH(C374,Customers!$A$2:$A$81,0))</x:f>
        <x:v>East</x:v>
      </x:c>
      <x:c r="G374" t="str">
        <x:f>Raw_Orders!D374</x:f>
        <x:v>P006</x:v>
      </x:c>
      <x:c r="H374" t="str">
        <x:f>INDEX(Products!$B$2:$B$13,MATCH(G374,Products!$A$2:$A$13,0))</x:f>
        <x:v>Laptop Stand</x:v>
      </x:c>
      <x:c r="I374" t="str">
        <x:f>INDEX(Products!$C$2:$C$13,MATCH(G374,Products!$A$2:$A$13,0))</x:f>
        <x:v>Office</x:v>
      </x:c>
      <x:c r="J374" t="str">
        <x:f>Raw_Orders!G374</x:f>
        <x:v>Online</x:v>
      </x:c>
      <x:c r="K374" t="n">
        <x:f>Raw_Orders!E374</x:f>
        <x:v>5</x:v>
      </x:c>
      <x:c r="L374" s="12" t="n">
        <x:f>Raw_Orders!F374</x:f>
        <x:v>0</x:v>
      </x:c>
      <x:c r="M374" s="14" t="n">
        <x:f>INDEX(Products!$D$2:$D$13,MATCH(G374,Products!$A$2:$A$13,0))</x:f>
        <x:v>55</x:v>
      </x:c>
      <x:c r="N374" s="14" t="n">
        <x:f>INDEX(Products!$E$2:$E$13,MATCH(G374,Products!$A$2:$A$13,0))</x:f>
        <x:v>24</x:v>
      </x:c>
      <x:c r="O374" s="14" t="n">
        <x:f>K374*M374</x:f>
        <x:v>275</x:v>
      </x:c>
      <x:c r="P374" s="14" t="n">
        <x:f>O374*(1-L374)</x:f>
        <x:v>275</x:v>
      </x:c>
      <x:c r="Q374" s="14" t="n">
        <x:f>K374*N374</x:f>
        <x:v>120</x:v>
      </x:c>
      <x:c r="R374" s="14" t="n">
        <x:f>P374-Q374</x:f>
        <x:v>155</x:v>
      </x:c>
      <x:c r="S374" s="16" t="n">
        <x:f>IFERROR(R374/P374,0)</x:f>
        <x:v>0.5636363636363636</x:v>
      </x:c>
    </x:row>
    <x:row r="375" ht="15" hidden="0" customHeight="1">
      <x:c r="A375" t="str">
        <x:f>Raw_Orders!A375</x:f>
        <x:v>O0374</x:v>
      </x:c>
      <x:c r="B375" s="10" t="n">
        <x:f>Raw_Orders!B375</x:f>
        <x:v>45760</x:v>
      </x:c>
      <x:c r="C375" t="str">
        <x:f>Raw_Orders!C375</x:f>
        <x:v>C018</x:v>
      </x:c>
      <x:c r="D375" t="str">
        <x:f>INDEX(Customers!$B$2:$B$81,MATCH(C375,Customers!$A$2:$A$81,0))</x:f>
        <x:v>Customer 18</x:v>
      </x:c>
      <x:c r="E375" t="str">
        <x:f>INDEX(Customers!$C$2:$C$81,MATCH(C375,Customers!$A$2:$A$81,0))</x:f>
        <x:v>Small Business</x:v>
      </x:c>
      <x:c r="F375" t="str">
        <x:f>INDEX(Customers!$D$2:$D$81,MATCH(C375,Customers!$A$2:$A$81,0))</x:f>
        <x:v>South</x:v>
      </x:c>
      <x:c r="G375" t="str">
        <x:f>Raw_Orders!D375</x:f>
        <x:v>P004</x:v>
      </x:c>
      <x:c r="H375" t="str">
        <x:f>INDEX(Products!$B$2:$B$13,MATCH(G375,Products!$A$2:$A$13,0))</x:f>
        <x:v>24in Monitor</x:v>
      </x:c>
      <x:c r="I375" t="str">
        <x:f>INDEX(Products!$C$2:$C$13,MATCH(G375,Products!$A$2:$A$13,0))</x:f>
        <x:v>Displays</x:v>
      </x:c>
      <x:c r="J375" t="str">
        <x:f>Raw_Orders!G375</x:f>
        <x:v>Retail</x:v>
      </x:c>
      <x:c r="K375" t="n">
        <x:f>Raw_Orders!E375</x:f>
        <x:v>4</x:v>
      </x:c>
      <x:c r="L375" s="12" t="n">
        <x:f>Raw_Orders!F375</x:f>
        <x:v>0</x:v>
      </x:c>
      <x:c r="M375" s="14" t="n">
        <x:f>INDEX(Products!$D$2:$D$13,MATCH(G375,Products!$A$2:$A$13,0))</x:f>
        <x:v>220</x:v>
      </x:c>
      <x:c r="N375" s="14" t="n">
        <x:f>INDEX(Products!$E$2:$E$13,MATCH(G375,Products!$A$2:$A$13,0))</x:f>
        <x:v>142</x:v>
      </x:c>
      <x:c r="O375" s="14" t="n">
        <x:f>K375*M375</x:f>
        <x:v>880</x:v>
      </x:c>
      <x:c r="P375" s="14" t="n">
        <x:f>O375*(1-L375)</x:f>
        <x:v>880</x:v>
      </x:c>
      <x:c r="Q375" s="14" t="n">
        <x:f>K375*N375</x:f>
        <x:v>568</x:v>
      </x:c>
      <x:c r="R375" s="14" t="n">
        <x:f>P375-Q375</x:f>
        <x:v>312</x:v>
      </x:c>
      <x:c r="S375" s="16" t="n">
        <x:f>IFERROR(R375/P375,0)</x:f>
        <x:v>0.35454545454545455</x:v>
      </x:c>
    </x:row>
    <x:row r="376" ht="15" hidden="0" customHeight="1">
      <x:c r="A376" t="str">
        <x:f>Raw_Orders!A376</x:f>
        <x:v>O0375</x:v>
      </x:c>
      <x:c r="B376" s="10" t="n">
        <x:f>Raw_Orders!B376</x:f>
        <x:v>45941</x:v>
      </x:c>
      <x:c r="C376" t="str">
        <x:f>Raw_Orders!C376</x:f>
        <x:v>C074</x:v>
      </x:c>
      <x:c r="D376" t="str">
        <x:f>INDEX(Customers!$B$2:$B$81,MATCH(C376,Customers!$A$2:$A$81,0))</x:f>
        <x:v>Customer 74</x:v>
      </x:c>
      <x:c r="E376" t="str">
        <x:f>INDEX(Customers!$C$2:$C$81,MATCH(C376,Customers!$A$2:$A$81,0))</x:f>
        <x:v>Corporate</x:v>
      </x:c>
      <x:c r="F376" t="str">
        <x:f>INDEX(Customers!$D$2:$D$81,MATCH(C376,Customers!$A$2:$A$81,0))</x:f>
        <x:v>South</x:v>
      </x:c>
      <x:c r="G376" t="str">
        <x:f>Raw_Orders!D376</x:f>
        <x:v>P006</x:v>
      </x:c>
      <x:c r="H376" t="str">
        <x:f>INDEX(Products!$B$2:$B$13,MATCH(G376,Products!$A$2:$A$13,0))</x:f>
        <x:v>Laptop Stand</x:v>
      </x:c>
      <x:c r="I376" t="str">
        <x:f>INDEX(Products!$C$2:$C$13,MATCH(G376,Products!$A$2:$A$13,0))</x:f>
        <x:v>Office</x:v>
      </x:c>
      <x:c r="J376" t="str">
        <x:f>Raw_Orders!G376</x:f>
        <x:v>Online</x:v>
      </x:c>
      <x:c r="K376" t="n">
        <x:f>Raw_Orders!E376</x:f>
        <x:v>4</x:v>
      </x:c>
      <x:c r="L376" s="12" t="n">
        <x:f>Raw_Orders!F376</x:f>
        <x:v>0.1</x:v>
      </x:c>
      <x:c r="M376" s="14" t="n">
        <x:f>INDEX(Products!$D$2:$D$13,MATCH(G376,Products!$A$2:$A$13,0))</x:f>
        <x:v>55</x:v>
      </x:c>
      <x:c r="N376" s="14" t="n">
        <x:f>INDEX(Products!$E$2:$E$13,MATCH(G376,Products!$A$2:$A$13,0))</x:f>
        <x:v>24</x:v>
      </x:c>
      <x:c r="O376" s="14" t="n">
        <x:f>K376*M376</x:f>
        <x:v>220</x:v>
      </x:c>
      <x:c r="P376" s="14" t="n">
        <x:f>O376*(1-L376)</x:f>
        <x:v>198</x:v>
      </x:c>
      <x:c r="Q376" s="14" t="n">
        <x:f>K376*N376</x:f>
        <x:v>96</x:v>
      </x:c>
      <x:c r="R376" s="14" t="n">
        <x:f>P376-Q376</x:f>
        <x:v>102</x:v>
      </x:c>
      <x:c r="S376" s="16" t="n">
        <x:f>IFERROR(R376/P376,0)</x:f>
        <x:v>0.5151515151515151</x:v>
      </x:c>
    </x:row>
    <x:row r="377" ht="15" hidden="0" customHeight="1">
      <x:c r="A377" t="str">
        <x:f>Raw_Orders!A377</x:f>
        <x:v>O0376</x:v>
      </x:c>
      <x:c r="B377" s="10" t="n">
        <x:f>Raw_Orders!B377</x:f>
        <x:v>45971</x:v>
      </x:c>
      <x:c r="C377" t="str">
        <x:f>Raw_Orders!C377</x:f>
        <x:v>C012</x:v>
      </x:c>
      <x:c r="D377" t="str">
        <x:f>INDEX(Customers!$B$2:$B$81,MATCH(C377,Customers!$A$2:$A$81,0))</x:f>
        <x:v>Customer 12</x:v>
      </x:c>
      <x:c r="E377" t="str">
        <x:f>INDEX(Customers!$C$2:$C$81,MATCH(C377,Customers!$A$2:$A$81,0))</x:f>
        <x:v>Small Business</x:v>
      </x:c>
      <x:c r="F377" t="str">
        <x:f>INDEX(Customers!$D$2:$D$81,MATCH(C377,Customers!$A$2:$A$81,0))</x:f>
        <x:v>West</x:v>
      </x:c>
      <x:c r="G377" t="str">
        <x:f>Raw_Orders!D377</x:f>
        <x:v>P002</x:v>
      </x:c>
      <x:c r="H377" t="str">
        <x:f>INDEX(Products!$B$2:$B$13,MATCH(G377,Products!$A$2:$A$13,0))</x:f>
        <x:v>Mechanical Keyboard</x:v>
      </x:c>
      <x:c r="I377" t="str">
        <x:f>INDEX(Products!$C$2:$C$13,MATCH(G377,Products!$A$2:$A$13,0))</x:f>
        <x:v>Accessories</x:v>
      </x:c>
      <x:c r="J377" t="str">
        <x:f>Raw_Orders!G377</x:f>
        <x:v>Partner</x:v>
      </x:c>
      <x:c r="K377" t="n">
        <x:f>Raw_Orders!E377</x:f>
        <x:v>3</x:v>
      </x:c>
      <x:c r="L377" s="12" t="n">
        <x:f>Raw_Orders!F377</x:f>
        <x:v>0.05</x:v>
      </x:c>
      <x:c r="M377" s="14" t="n">
        <x:f>INDEX(Products!$D$2:$D$13,MATCH(G377,Products!$A$2:$A$13,0))</x:f>
        <x:v>110</x:v>
      </x:c>
      <x:c r="N377" s="14" t="n">
        <x:f>INDEX(Products!$E$2:$E$13,MATCH(G377,Products!$A$2:$A$13,0))</x:f>
        <x:v>58</x:v>
      </x:c>
      <x:c r="O377" s="14" t="n">
        <x:f>K377*M377</x:f>
        <x:v>330</x:v>
      </x:c>
      <x:c r="P377" s="14" t="n">
        <x:f>O377*(1-L377)</x:f>
        <x:v>313.5</x:v>
      </x:c>
      <x:c r="Q377" s="14" t="n">
        <x:f>K377*N377</x:f>
        <x:v>174</x:v>
      </x:c>
      <x:c r="R377" s="14" t="n">
        <x:f>P377-Q377</x:f>
        <x:v>139.5</x:v>
      </x:c>
      <x:c r="S377" s="16" t="n">
        <x:f>IFERROR(R377/P377,0)</x:f>
        <x:v>0.4449760765550239</x:v>
      </x:c>
    </x:row>
    <x:row r="378" ht="15" hidden="0" customHeight="1">
      <x:c r="A378" t="str">
        <x:f>Raw_Orders!A378</x:f>
        <x:v>O0377</x:v>
      </x:c>
      <x:c r="B378" s="10" t="n">
        <x:f>Raw_Orders!B378</x:f>
        <x:v>45903</x:v>
      </x:c>
      <x:c r="C378" t="str">
        <x:f>Raw_Orders!C378</x:f>
        <x:v>C068</x:v>
      </x:c>
      <x:c r="D378" t="str">
        <x:f>INDEX(Customers!$B$2:$B$81,MATCH(C378,Customers!$A$2:$A$81,0))</x:f>
        <x:v>Customer 68</x:v>
      </x:c>
      <x:c r="E378" t="str">
        <x:f>INDEX(Customers!$C$2:$C$81,MATCH(C378,Customers!$A$2:$A$81,0))</x:f>
        <x:v>Corporate</x:v>
      </x:c>
      <x:c r="F378" t="str">
        <x:f>INDEX(Customers!$D$2:$D$81,MATCH(C378,Customers!$A$2:$A$81,0))</x:f>
        <x:v>West</x:v>
      </x:c>
      <x:c r="G378" t="str">
        <x:f>Raw_Orders!D378</x:f>
        <x:v>P007</x:v>
      </x:c>
      <x:c r="H378" t="str">
        <x:f>INDEX(Products!$B$2:$B$13,MATCH(G378,Products!$A$2:$A$13,0))</x:f>
        <x:v>Ergonomic Chair</x:v>
      </x:c>
      <x:c r="I378" t="str">
        <x:f>INDEX(Products!$C$2:$C$13,MATCH(G378,Products!$A$2:$A$13,0))</x:f>
        <x:v>Office</x:v>
      </x:c>
      <x:c r="J378" t="str">
        <x:f>Raw_Orders!G378</x:f>
        <x:v>Online</x:v>
      </x:c>
      <x:c r="K378" t="n">
        <x:f>Raw_Orders!E378</x:f>
        <x:v>4</x:v>
      </x:c>
      <x:c r="L378" s="12" t="n">
        <x:f>Raw_Orders!F378</x:f>
        <x:v>0.1</x:v>
      </x:c>
      <x:c r="M378" s="14" t="n">
        <x:f>INDEX(Products!$D$2:$D$13,MATCH(G378,Products!$A$2:$A$13,0))</x:f>
        <x:v>390</x:v>
      </x:c>
      <x:c r="N378" s="14" t="n">
        <x:f>INDEX(Products!$E$2:$E$13,MATCH(G378,Products!$A$2:$A$13,0))</x:f>
        <x:v>245</x:v>
      </x:c>
      <x:c r="O378" s="14" t="n">
        <x:f>K378*M378</x:f>
        <x:v>1560</x:v>
      </x:c>
      <x:c r="P378" s="14" t="n">
        <x:f>O378*(1-L378)</x:f>
        <x:v>1404</x:v>
      </x:c>
      <x:c r="Q378" s="14" t="n">
        <x:f>K378*N378</x:f>
        <x:v>980</x:v>
      </x:c>
      <x:c r="R378" s="14" t="n">
        <x:f>P378-Q378</x:f>
        <x:v>424</x:v>
      </x:c>
      <x:c r="S378" s="16" t="n">
        <x:f>IFERROR(R378/P378,0)</x:f>
        <x:v>0.301994301994302</x:v>
      </x:c>
    </x:row>
    <x:row r="379" ht="15" hidden="0" customHeight="1">
      <x:c r="A379" t="str">
        <x:f>Raw_Orders!A379</x:f>
        <x:v>O0378</x:v>
      </x:c>
      <x:c r="B379" s="10" t="n">
        <x:f>Raw_Orders!B379</x:f>
        <x:v>45722</x:v>
      </x:c>
      <x:c r="C379" t="str">
        <x:f>Raw_Orders!C379</x:f>
        <x:v>C041</x:v>
      </x:c>
      <x:c r="D379" t="str">
        <x:f>INDEX(Customers!$B$2:$B$81,MATCH(C379,Customers!$A$2:$A$81,0))</x:f>
        <x:v>Customer 41</x:v>
      </x:c>
      <x:c r="E379" t="str">
        <x:f>INDEX(Customers!$C$2:$C$81,MATCH(C379,Customers!$A$2:$A$81,0))</x:f>
        <x:v>Corporate</x:v>
      </x:c>
      <x:c r="F379" t="str">
        <x:f>INDEX(Customers!$D$2:$D$81,MATCH(C379,Customers!$A$2:$A$81,0))</x:f>
        <x:v>North</x:v>
      </x:c>
      <x:c r="G379" t="str">
        <x:f>Raw_Orders!D379</x:f>
        <x:v>P011</x:v>
      </x:c>
      <x:c r="H379" t="str">
        <x:f>INDEX(Products!$B$2:$B$13,MATCH(G379,Products!$A$2:$A$13,0))</x:f>
        <x:v>External HDD</x:v>
      </x:c>
      <x:c r="I379" t="str">
        <x:f>INDEX(Products!$C$2:$C$13,MATCH(G379,Products!$A$2:$A$13,0))</x:f>
        <x:v>Storage</x:v>
      </x:c>
      <x:c r="J379" t="str">
        <x:f>Raw_Orders!G379</x:f>
        <x:v>Retail</x:v>
      </x:c>
      <x:c r="K379" t="n">
        <x:f>Raw_Orders!E379</x:f>
        <x:v>1</x:v>
      </x:c>
      <x:c r="L379" s="12" t="n">
        <x:f>Raw_Orders!F379</x:f>
        <x:v>0.05</x:v>
      </x:c>
      <x:c r="M379" s="14" t="n">
        <x:f>INDEX(Products!$D$2:$D$13,MATCH(G379,Products!$A$2:$A$13,0))</x:f>
        <x:v>120</x:v>
      </x:c>
      <x:c r="N379" s="14" t="n">
        <x:f>INDEX(Products!$E$2:$E$13,MATCH(G379,Products!$A$2:$A$13,0))</x:f>
        <x:v>72</x:v>
      </x:c>
      <x:c r="O379" s="14" t="n">
        <x:f>K379*M379</x:f>
        <x:v>120</x:v>
      </x:c>
      <x:c r="P379" s="14" t="n">
        <x:f>O379*(1-L379)</x:f>
        <x:v>114</x:v>
      </x:c>
      <x:c r="Q379" s="14" t="n">
        <x:f>K379*N379</x:f>
        <x:v>72</x:v>
      </x:c>
      <x:c r="R379" s="14" t="n">
        <x:f>P379-Q379</x:f>
        <x:v>42</x:v>
      </x:c>
      <x:c r="S379" s="16" t="n">
        <x:f>IFERROR(R379/P379,0)</x:f>
        <x:v>0.3684210526315789</x:v>
      </x:c>
    </x:row>
    <x:row r="380" ht="15" hidden="0" customHeight="1">
      <x:c r="A380" t="str">
        <x:f>Raw_Orders!A380</x:f>
        <x:v>O0379</x:v>
      </x:c>
      <x:c r="B380" s="10" t="n">
        <x:f>Raw_Orders!B380</x:f>
        <x:v>46006</x:v>
      </x:c>
      <x:c r="C380" t="str">
        <x:f>Raw_Orders!C380</x:f>
        <x:v>C067</x:v>
      </x:c>
      <x:c r="D380" t="str">
        <x:f>INDEX(Customers!$B$2:$B$81,MATCH(C380,Customers!$A$2:$A$81,0))</x:f>
        <x:v>Customer 67</x:v>
      </x:c>
      <x:c r="E380" t="str">
        <x:f>INDEX(Customers!$C$2:$C$81,MATCH(C380,Customers!$A$2:$A$81,0))</x:f>
        <x:v>Consumer</x:v>
      </x:c>
      <x:c r="F380" t="str">
        <x:f>INDEX(Customers!$D$2:$D$81,MATCH(C380,Customers!$A$2:$A$81,0))</x:f>
        <x:v>East</x:v>
      </x:c>
      <x:c r="G380" t="str">
        <x:f>Raw_Orders!D380</x:f>
        <x:v>P006</x:v>
      </x:c>
      <x:c r="H380" t="str">
        <x:f>INDEX(Products!$B$2:$B$13,MATCH(G380,Products!$A$2:$A$13,0))</x:f>
        <x:v>Laptop Stand</x:v>
      </x:c>
      <x:c r="I380" t="str">
        <x:f>INDEX(Products!$C$2:$C$13,MATCH(G380,Products!$A$2:$A$13,0))</x:f>
        <x:v>Office</x:v>
      </x:c>
      <x:c r="J380" t="str">
        <x:f>Raw_Orders!G380</x:f>
        <x:v>Partner</x:v>
      </x:c>
      <x:c r="K380" t="n">
        <x:f>Raw_Orders!E380</x:f>
        <x:v>2</x:v>
      </x:c>
      <x:c r="L380" s="12" t="n">
        <x:f>Raw_Orders!F380</x:f>
        <x:v>0.1</x:v>
      </x:c>
      <x:c r="M380" s="14" t="n">
        <x:f>INDEX(Products!$D$2:$D$13,MATCH(G380,Products!$A$2:$A$13,0))</x:f>
        <x:v>55</x:v>
      </x:c>
      <x:c r="N380" s="14" t="n">
        <x:f>INDEX(Products!$E$2:$E$13,MATCH(G380,Products!$A$2:$A$13,0))</x:f>
        <x:v>24</x:v>
      </x:c>
      <x:c r="O380" s="14" t="n">
        <x:f>K380*M380</x:f>
        <x:v>110</x:v>
      </x:c>
      <x:c r="P380" s="14" t="n">
        <x:f>O380*(1-L380)</x:f>
        <x:v>99</x:v>
      </x:c>
      <x:c r="Q380" s="14" t="n">
        <x:f>K380*N380</x:f>
        <x:v>48</x:v>
      </x:c>
      <x:c r="R380" s="14" t="n">
        <x:f>P380-Q380</x:f>
        <x:v>51</x:v>
      </x:c>
      <x:c r="S380" s="16" t="n">
        <x:f>IFERROR(R380/P380,0)</x:f>
        <x:v>0.5151515151515151</x:v>
      </x:c>
    </x:row>
    <x:row r="381" ht="15" hidden="0" customHeight="1">
      <x:c r="A381" t="str">
        <x:f>Raw_Orders!A381</x:f>
        <x:v>O0380</x:v>
      </x:c>
      <x:c r="B381" s="10" t="n">
        <x:f>Raw_Orders!B381</x:f>
        <x:v>45958</x:v>
      </x:c>
      <x:c r="C381" t="str">
        <x:f>Raw_Orders!C381</x:f>
        <x:v>C024</x:v>
      </x:c>
      <x:c r="D381" t="str">
        <x:f>INDEX(Customers!$B$2:$B$81,MATCH(C381,Customers!$A$2:$A$81,0))</x:f>
        <x:v>Customer 24</x:v>
      </x:c>
      <x:c r="E381" t="str">
        <x:f>INDEX(Customers!$C$2:$C$81,MATCH(C381,Customers!$A$2:$A$81,0))</x:f>
        <x:v>Small Business</x:v>
      </x:c>
      <x:c r="F381" t="str">
        <x:f>INDEX(Customers!$D$2:$D$81,MATCH(C381,Customers!$A$2:$A$81,0))</x:f>
        <x:v>West</x:v>
      </x:c>
      <x:c r="G381" t="str">
        <x:f>Raw_Orders!D381</x:f>
        <x:v>P003</x:v>
      </x:c>
      <x:c r="H381" t="str">
        <x:f>INDEX(Products!$B$2:$B$13,MATCH(G381,Products!$A$2:$A$13,0))</x:f>
        <x:v>USB-C Hub</x:v>
      </x:c>
      <x:c r="I381" t="str">
        <x:f>INDEX(Products!$C$2:$C$13,MATCH(G381,Products!$A$2:$A$13,0))</x:f>
        <x:v>Accessories</x:v>
      </x:c>
      <x:c r="J381" t="str">
        <x:f>Raw_Orders!G381</x:f>
        <x:v>Online</x:v>
      </x:c>
      <x:c r="K381" t="n">
        <x:f>Raw_Orders!E381</x:f>
        <x:v>4</x:v>
      </x:c>
      <x:c r="L381" s="12" t="n">
        <x:f>Raw_Orders!F381</x:f>
        <x:v>0.1</x:v>
      </x:c>
      <x:c r="M381" s="14" t="n">
        <x:f>INDEX(Products!$D$2:$D$13,MATCH(G381,Products!$A$2:$A$13,0))</x:f>
        <x:v>65</x:v>
      </x:c>
      <x:c r="N381" s="14" t="n">
        <x:f>INDEX(Products!$E$2:$E$13,MATCH(G381,Products!$A$2:$A$13,0))</x:f>
        <x:v>31</x:v>
      </x:c>
      <x:c r="O381" s="14" t="n">
        <x:f>K381*M381</x:f>
        <x:v>260</x:v>
      </x:c>
      <x:c r="P381" s="14" t="n">
        <x:f>O381*(1-L381)</x:f>
        <x:v>234</x:v>
      </x:c>
      <x:c r="Q381" s="14" t="n">
        <x:f>K381*N381</x:f>
        <x:v>124</x:v>
      </x:c>
      <x:c r="R381" s="14" t="n">
        <x:f>P381-Q381</x:f>
        <x:v>110</x:v>
      </x:c>
      <x:c r="S381" s="16" t="n">
        <x:f>IFERROR(R381/P381,0)</x:f>
        <x:v>0.4700854700854701</x:v>
      </x:c>
    </x:row>
    <x:row r="382" ht="15" hidden="0" customHeight="1">
      <x:c r="A382" t="str">
        <x:f>Raw_Orders!A382</x:f>
        <x:v>O0381</x:v>
      </x:c>
      <x:c r="B382" s="10" t="n">
        <x:f>Raw_Orders!B382</x:f>
        <x:v>45721</x:v>
      </x:c>
      <x:c r="C382" t="str">
        <x:f>Raw_Orders!C382</x:f>
        <x:v>C067</x:v>
      </x:c>
      <x:c r="D382" t="str">
        <x:f>INDEX(Customers!$B$2:$B$81,MATCH(C382,Customers!$A$2:$A$81,0))</x:f>
        <x:v>Customer 67</x:v>
      </x:c>
      <x:c r="E382" t="str">
        <x:f>INDEX(Customers!$C$2:$C$81,MATCH(C382,Customers!$A$2:$A$81,0))</x:f>
        <x:v>Consumer</x:v>
      </x:c>
      <x:c r="F382" t="str">
        <x:f>INDEX(Customers!$D$2:$D$81,MATCH(C382,Customers!$A$2:$A$81,0))</x:f>
        <x:v>East</x:v>
      </x:c>
      <x:c r="G382" t="str">
        <x:f>Raw_Orders!D382</x:f>
        <x:v>P003</x:v>
      </x:c>
      <x:c r="H382" t="str">
        <x:f>INDEX(Products!$B$2:$B$13,MATCH(G382,Products!$A$2:$A$13,0))</x:f>
        <x:v>USB-C Hub</x:v>
      </x:c>
      <x:c r="I382" t="str">
        <x:f>INDEX(Products!$C$2:$C$13,MATCH(G382,Products!$A$2:$A$13,0))</x:f>
        <x:v>Accessories</x:v>
      </x:c>
      <x:c r="J382" t="str">
        <x:f>Raw_Orders!G382</x:f>
        <x:v>Online</x:v>
      </x:c>
      <x:c r="K382" t="n">
        <x:f>Raw_Orders!E382</x:f>
        <x:v>3</x:v>
      </x:c>
      <x:c r="L382" s="12" t="n">
        <x:f>Raw_Orders!F382</x:f>
        <x:v>0</x:v>
      </x:c>
      <x:c r="M382" s="14" t="n">
        <x:f>INDEX(Products!$D$2:$D$13,MATCH(G382,Products!$A$2:$A$13,0))</x:f>
        <x:v>65</x:v>
      </x:c>
      <x:c r="N382" s="14" t="n">
        <x:f>INDEX(Products!$E$2:$E$13,MATCH(G382,Products!$A$2:$A$13,0))</x:f>
        <x:v>31</x:v>
      </x:c>
      <x:c r="O382" s="14" t="n">
        <x:f>K382*M382</x:f>
        <x:v>195</x:v>
      </x:c>
      <x:c r="P382" s="14" t="n">
        <x:f>O382*(1-L382)</x:f>
        <x:v>195</x:v>
      </x:c>
      <x:c r="Q382" s="14" t="n">
        <x:f>K382*N382</x:f>
        <x:v>93</x:v>
      </x:c>
      <x:c r="R382" s="14" t="n">
        <x:f>P382-Q382</x:f>
        <x:v>102</x:v>
      </x:c>
      <x:c r="S382" s="16" t="n">
        <x:f>IFERROR(R382/P382,0)</x:f>
        <x:v>0.5230769230769231</x:v>
      </x:c>
    </x:row>
    <x:row r="383" ht="15" hidden="0" customHeight="1">
      <x:c r="A383" t="str">
        <x:f>Raw_Orders!A383</x:f>
        <x:v>O0382</x:v>
      </x:c>
      <x:c r="B383" s="10" t="n">
        <x:f>Raw_Orders!B383</x:f>
        <x:v>45823</x:v>
      </x:c>
      <x:c r="C383" t="str">
        <x:f>Raw_Orders!C383</x:f>
        <x:v>C029</x:v>
      </x:c>
      <x:c r="D383" t="str">
        <x:f>INDEX(Customers!$B$2:$B$81,MATCH(C383,Customers!$A$2:$A$81,0))</x:f>
        <x:v>Customer 29</x:v>
      </x:c>
      <x:c r="E383" t="str">
        <x:f>INDEX(Customers!$C$2:$C$81,MATCH(C383,Customers!$A$2:$A$81,0))</x:f>
        <x:v>Corporate</x:v>
      </x:c>
      <x:c r="F383" t="str">
        <x:f>INDEX(Customers!$D$2:$D$81,MATCH(C383,Customers!$A$2:$A$81,0))</x:f>
        <x:v>North</x:v>
      </x:c>
      <x:c r="G383" t="str">
        <x:f>Raw_Orders!D383</x:f>
        <x:v>P006</x:v>
      </x:c>
      <x:c r="H383" t="str">
        <x:f>INDEX(Products!$B$2:$B$13,MATCH(G383,Products!$A$2:$A$13,0))</x:f>
        <x:v>Laptop Stand</x:v>
      </x:c>
      <x:c r="I383" t="str">
        <x:f>INDEX(Products!$C$2:$C$13,MATCH(G383,Products!$A$2:$A$13,0))</x:f>
        <x:v>Office</x:v>
      </x:c>
      <x:c r="J383" t="str">
        <x:f>Raw_Orders!G383</x:f>
        <x:v>Online</x:v>
      </x:c>
      <x:c r="K383" t="n">
        <x:f>Raw_Orders!E383</x:f>
        <x:v>5</x:v>
      </x:c>
      <x:c r="L383" s="12" t="n">
        <x:f>Raw_Orders!F383</x:f>
        <x:v>0</x:v>
      </x:c>
      <x:c r="M383" s="14" t="n">
        <x:f>INDEX(Products!$D$2:$D$13,MATCH(G383,Products!$A$2:$A$13,0))</x:f>
        <x:v>55</x:v>
      </x:c>
      <x:c r="N383" s="14" t="n">
        <x:f>INDEX(Products!$E$2:$E$13,MATCH(G383,Products!$A$2:$A$13,0))</x:f>
        <x:v>24</x:v>
      </x:c>
      <x:c r="O383" s="14" t="n">
        <x:f>K383*M383</x:f>
        <x:v>275</x:v>
      </x:c>
      <x:c r="P383" s="14" t="n">
        <x:f>O383*(1-L383)</x:f>
        <x:v>275</x:v>
      </x:c>
      <x:c r="Q383" s="14" t="n">
        <x:f>K383*N383</x:f>
        <x:v>120</x:v>
      </x:c>
      <x:c r="R383" s="14" t="n">
        <x:f>P383-Q383</x:f>
        <x:v>155</x:v>
      </x:c>
      <x:c r="S383" s="16" t="n">
        <x:f>IFERROR(R383/P383,0)</x:f>
        <x:v>0.5636363636363636</x:v>
      </x:c>
    </x:row>
    <x:row r="384" ht="15" hidden="0" customHeight="1">
      <x:c r="A384" t="str">
        <x:f>Raw_Orders!A384</x:f>
        <x:v>O0383</x:v>
      </x:c>
      <x:c r="B384" s="10" t="n">
        <x:f>Raw_Orders!B384</x:f>
        <x:v>45786</x:v>
      </x:c>
      <x:c r="C384" t="str">
        <x:f>Raw_Orders!C384</x:f>
        <x:v>C026</x:v>
      </x:c>
      <x:c r="D384" t="str">
        <x:f>INDEX(Customers!$B$2:$B$81,MATCH(C384,Customers!$A$2:$A$81,0))</x:f>
        <x:v>Customer 26</x:v>
      </x:c>
      <x:c r="E384" t="str">
        <x:f>INDEX(Customers!$C$2:$C$81,MATCH(C384,Customers!$A$2:$A$81,0))</x:f>
        <x:v>Corporate</x:v>
      </x:c>
      <x:c r="F384" t="str">
        <x:f>INDEX(Customers!$D$2:$D$81,MATCH(C384,Customers!$A$2:$A$81,0))</x:f>
        <x:v>South</x:v>
      </x:c>
      <x:c r="G384" t="str">
        <x:f>Raw_Orders!D384</x:f>
        <x:v>P011</x:v>
      </x:c>
      <x:c r="H384" t="str">
        <x:f>INDEX(Products!$B$2:$B$13,MATCH(G384,Products!$A$2:$A$13,0))</x:f>
        <x:v>External HDD</x:v>
      </x:c>
      <x:c r="I384" t="str">
        <x:f>INDEX(Products!$C$2:$C$13,MATCH(G384,Products!$A$2:$A$13,0))</x:f>
        <x:v>Storage</x:v>
      </x:c>
      <x:c r="J384" t="str">
        <x:f>Raw_Orders!G384</x:f>
        <x:v>Online</x:v>
      </x:c>
      <x:c r="K384" t="n">
        <x:f>Raw_Orders!E384</x:f>
        <x:v>5</x:v>
      </x:c>
      <x:c r="L384" s="12" t="n">
        <x:f>Raw_Orders!F384</x:f>
        <x:v>0</x:v>
      </x:c>
      <x:c r="M384" s="14" t="n">
        <x:f>INDEX(Products!$D$2:$D$13,MATCH(G384,Products!$A$2:$A$13,0))</x:f>
        <x:v>120</x:v>
      </x:c>
      <x:c r="N384" s="14" t="n">
        <x:f>INDEX(Products!$E$2:$E$13,MATCH(G384,Products!$A$2:$A$13,0))</x:f>
        <x:v>72</x:v>
      </x:c>
      <x:c r="O384" s="14" t="n">
        <x:f>K384*M384</x:f>
        <x:v>600</x:v>
      </x:c>
      <x:c r="P384" s="14" t="n">
        <x:f>O384*(1-L384)</x:f>
        <x:v>600</x:v>
      </x:c>
      <x:c r="Q384" s="14" t="n">
        <x:f>K384*N384</x:f>
        <x:v>360</x:v>
      </x:c>
      <x:c r="R384" s="14" t="n">
        <x:f>P384-Q384</x:f>
        <x:v>240</x:v>
      </x:c>
      <x:c r="S384" s="16" t="n">
        <x:f>IFERROR(R384/P384,0)</x:f>
        <x:v>0.4</x:v>
      </x:c>
    </x:row>
    <x:row r="385" ht="15" hidden="0" customHeight="1">
      <x:c r="A385" t="str">
        <x:f>Raw_Orders!A385</x:f>
        <x:v>O0384</x:v>
      </x:c>
      <x:c r="B385" s="10" t="n">
        <x:f>Raw_Orders!B385</x:f>
        <x:v>45978</x:v>
      </x:c>
      <x:c r="C385" t="str">
        <x:f>Raw_Orders!C385</x:f>
        <x:v>C039</x:v>
      </x:c>
      <x:c r="D385" t="str">
        <x:f>INDEX(Customers!$B$2:$B$81,MATCH(C385,Customers!$A$2:$A$81,0))</x:f>
        <x:v>Customer 39</x:v>
      </x:c>
      <x:c r="E385" t="str">
        <x:f>INDEX(Customers!$C$2:$C$81,MATCH(C385,Customers!$A$2:$A$81,0))</x:f>
        <x:v>Small Business</x:v>
      </x:c>
      <x:c r="F385" t="str">
        <x:f>INDEX(Customers!$D$2:$D$81,MATCH(C385,Customers!$A$2:$A$81,0))</x:f>
        <x:v>East</x:v>
      </x:c>
      <x:c r="G385" t="str">
        <x:f>Raw_Orders!D385</x:f>
        <x:v>P010</x:v>
      </x:c>
      <x:c r="H385" t="str">
        <x:f>INDEX(Products!$B$2:$B$13,MATCH(G385,Products!$A$2:$A$13,0))</x:f>
        <x:v>Portable SSD</x:v>
      </x:c>
      <x:c r="I385" t="str">
        <x:f>INDEX(Products!$C$2:$C$13,MATCH(G385,Products!$A$2:$A$13,0))</x:f>
        <x:v>Storage</x:v>
      </x:c>
      <x:c r="J385" t="str">
        <x:f>Raw_Orders!G385</x:f>
        <x:v>Partner</x:v>
      </x:c>
      <x:c r="K385" t="n">
        <x:f>Raw_Orders!E385</x:f>
        <x:v>5</x:v>
      </x:c>
      <x:c r="L385" s="12" t="n">
        <x:f>Raw_Orders!F385</x:f>
        <x:v>0</x:v>
      </x:c>
      <x:c r="M385" s="14" t="n">
        <x:f>INDEX(Products!$D$2:$D$13,MATCH(G385,Products!$A$2:$A$13,0))</x:f>
        <x:v>145</x:v>
      </x:c>
      <x:c r="N385" s="14" t="n">
        <x:f>INDEX(Products!$E$2:$E$13,MATCH(G385,Products!$A$2:$A$13,0))</x:f>
        <x:v>86</x:v>
      </x:c>
      <x:c r="O385" s="14" t="n">
        <x:f>K385*M385</x:f>
        <x:v>725</x:v>
      </x:c>
      <x:c r="P385" s="14" t="n">
        <x:f>O385*(1-L385)</x:f>
        <x:v>725</x:v>
      </x:c>
      <x:c r="Q385" s="14" t="n">
        <x:f>K385*N385</x:f>
        <x:v>430</x:v>
      </x:c>
      <x:c r="R385" s="14" t="n">
        <x:f>P385-Q385</x:f>
        <x:v>295</x:v>
      </x:c>
      <x:c r="S385" s="16" t="n">
        <x:f>IFERROR(R385/P385,0)</x:f>
        <x:v>0.4068965517241379</x:v>
      </x:c>
    </x:row>
    <x:row r="386" ht="15" hidden="0" customHeight="1">
      <x:c r="A386" t="str">
        <x:f>Raw_Orders!A386</x:f>
        <x:v>O0385</x:v>
      </x:c>
      <x:c r="B386" s="10" t="n">
        <x:f>Raw_Orders!B386</x:f>
        <x:v>45986</x:v>
      </x:c>
      <x:c r="C386" t="str">
        <x:f>Raw_Orders!C386</x:f>
        <x:v>C022</x:v>
      </x:c>
      <x:c r="D386" t="str">
        <x:f>INDEX(Customers!$B$2:$B$81,MATCH(C386,Customers!$A$2:$A$81,0))</x:f>
        <x:v>Customer 22</x:v>
      </x:c>
      <x:c r="E386" t="str">
        <x:f>INDEX(Customers!$C$2:$C$81,MATCH(C386,Customers!$A$2:$A$81,0))</x:f>
        <x:v>Consumer</x:v>
      </x:c>
      <x:c r="F386" t="str">
        <x:f>INDEX(Customers!$D$2:$D$81,MATCH(C386,Customers!$A$2:$A$81,0))</x:f>
        <x:v>South</x:v>
      </x:c>
      <x:c r="G386" t="str">
        <x:f>Raw_Orders!D386</x:f>
        <x:v>P010</x:v>
      </x:c>
      <x:c r="H386" t="str">
        <x:f>INDEX(Products!$B$2:$B$13,MATCH(G386,Products!$A$2:$A$13,0))</x:f>
        <x:v>Portable SSD</x:v>
      </x:c>
      <x:c r="I386" t="str">
        <x:f>INDEX(Products!$C$2:$C$13,MATCH(G386,Products!$A$2:$A$13,0))</x:f>
        <x:v>Storage</x:v>
      </x:c>
      <x:c r="J386" t="str">
        <x:f>Raw_Orders!G386</x:f>
        <x:v>Online</x:v>
      </x:c>
      <x:c r="K386" t="n">
        <x:f>Raw_Orders!E386</x:f>
        <x:v>5</x:v>
      </x:c>
      <x:c r="L386" s="12" t="n">
        <x:f>Raw_Orders!F386</x:f>
        <x:v>0</x:v>
      </x:c>
      <x:c r="M386" s="14" t="n">
        <x:f>INDEX(Products!$D$2:$D$13,MATCH(G386,Products!$A$2:$A$13,0))</x:f>
        <x:v>145</x:v>
      </x:c>
      <x:c r="N386" s="14" t="n">
        <x:f>INDEX(Products!$E$2:$E$13,MATCH(G386,Products!$A$2:$A$13,0))</x:f>
        <x:v>86</x:v>
      </x:c>
      <x:c r="O386" s="14" t="n">
        <x:f>K386*M386</x:f>
        <x:v>725</x:v>
      </x:c>
      <x:c r="P386" s="14" t="n">
        <x:f>O386*(1-L386)</x:f>
        <x:v>725</x:v>
      </x:c>
      <x:c r="Q386" s="14" t="n">
        <x:f>K386*N386</x:f>
        <x:v>430</x:v>
      </x:c>
      <x:c r="R386" s="14" t="n">
        <x:f>P386-Q386</x:f>
        <x:v>295</x:v>
      </x:c>
      <x:c r="S386" s="16" t="n">
        <x:f>IFERROR(R386/P386,0)</x:f>
        <x:v>0.4068965517241379</x:v>
      </x:c>
    </x:row>
    <x:row r="387" ht="15" hidden="0" customHeight="1">
      <x:c r="A387" t="str">
        <x:f>Raw_Orders!A387</x:f>
        <x:v>O0386</x:v>
      </x:c>
      <x:c r="B387" s="10" t="n">
        <x:f>Raw_Orders!B387</x:f>
        <x:v>45995</x:v>
      </x:c>
      <x:c r="C387" t="str">
        <x:f>Raw_Orders!C387</x:f>
        <x:v>C080</x:v>
      </x:c>
      <x:c r="D387" t="str">
        <x:f>INDEX(Customers!$B$2:$B$81,MATCH(C387,Customers!$A$2:$A$81,0))</x:f>
        <x:v>Customer 80</x:v>
      </x:c>
      <x:c r="E387" t="str">
        <x:f>INDEX(Customers!$C$2:$C$81,MATCH(C387,Customers!$A$2:$A$81,0))</x:f>
        <x:v>Corporate</x:v>
      </x:c>
      <x:c r="F387" t="str">
        <x:f>INDEX(Customers!$D$2:$D$81,MATCH(C387,Customers!$A$2:$A$81,0))</x:f>
        <x:v>West</x:v>
      </x:c>
      <x:c r="G387" t="str">
        <x:f>Raw_Orders!D387</x:f>
        <x:v>P012</x:v>
      </x:c>
      <x:c r="H387" t="str">
        <x:f>INDEX(Products!$B$2:$B$13,MATCH(G387,Products!$A$2:$A$13,0))</x:f>
        <x:v>Docking Station</x:v>
      </x:c>
      <x:c r="I387" t="str">
        <x:f>INDEX(Products!$C$2:$C$13,MATCH(G387,Products!$A$2:$A$13,0))</x:f>
        <x:v>Accessories</x:v>
      </x:c>
      <x:c r="J387" t="str">
        <x:f>Raw_Orders!G387</x:f>
        <x:v>Partner</x:v>
      </x:c>
      <x:c r="K387" t="n">
        <x:f>Raw_Orders!E387</x:f>
        <x:v>5</x:v>
      </x:c>
      <x:c r="L387" s="12" t="n">
        <x:f>Raw_Orders!F387</x:f>
        <x:v>0</x:v>
      </x:c>
      <x:c r="M387" s="14" t="n">
        <x:f>INDEX(Products!$D$2:$D$13,MATCH(G387,Products!$A$2:$A$13,0))</x:f>
        <x:v>180</x:v>
      </x:c>
      <x:c r="N387" s="14" t="n">
        <x:f>INDEX(Products!$E$2:$E$13,MATCH(G387,Products!$A$2:$A$13,0))</x:f>
        <x:v>104</x:v>
      </x:c>
      <x:c r="O387" s="14" t="n">
        <x:f>K387*M387</x:f>
        <x:v>900</x:v>
      </x:c>
      <x:c r="P387" s="14" t="n">
        <x:f>O387*(1-L387)</x:f>
        <x:v>900</x:v>
      </x:c>
      <x:c r="Q387" s="14" t="n">
        <x:f>K387*N387</x:f>
        <x:v>520</x:v>
      </x:c>
      <x:c r="R387" s="14" t="n">
        <x:f>P387-Q387</x:f>
        <x:v>380</x:v>
      </x:c>
      <x:c r="S387" s="16" t="n">
        <x:f>IFERROR(R387/P387,0)</x:f>
        <x:v>0.4222222222222222</x:v>
      </x:c>
    </x:row>
    <x:row r="388" ht="15" hidden="0" customHeight="1">
      <x:c r="A388" t="str">
        <x:f>Raw_Orders!A388</x:f>
        <x:v>O0387</x:v>
      </x:c>
      <x:c r="B388" s="10" t="n">
        <x:f>Raw_Orders!B388</x:f>
        <x:v>45679</x:v>
      </x:c>
      <x:c r="C388" t="str">
        <x:f>Raw_Orders!C388</x:f>
        <x:v>C004</x:v>
      </x:c>
      <x:c r="D388" t="str">
        <x:f>INDEX(Customers!$B$2:$B$81,MATCH(C388,Customers!$A$2:$A$81,0))</x:f>
        <x:v>Customer 04</x:v>
      </x:c>
      <x:c r="E388" t="str">
        <x:f>INDEX(Customers!$C$2:$C$81,MATCH(C388,Customers!$A$2:$A$81,0))</x:f>
        <x:v>Consumer</x:v>
      </x:c>
      <x:c r="F388" t="str">
        <x:f>INDEX(Customers!$D$2:$D$81,MATCH(C388,Customers!$A$2:$A$81,0))</x:f>
        <x:v>West</x:v>
      </x:c>
      <x:c r="G388" t="str">
        <x:f>Raw_Orders!D388</x:f>
        <x:v>P002</x:v>
      </x:c>
      <x:c r="H388" t="str">
        <x:f>INDEX(Products!$B$2:$B$13,MATCH(G388,Products!$A$2:$A$13,0))</x:f>
        <x:v>Mechanical Keyboard</x:v>
      </x:c>
      <x:c r="I388" t="str">
        <x:f>INDEX(Products!$C$2:$C$13,MATCH(G388,Products!$A$2:$A$13,0))</x:f>
        <x:v>Accessories</x:v>
      </x:c>
      <x:c r="J388" t="str">
        <x:f>Raw_Orders!G388</x:f>
        <x:v>Partner</x:v>
      </x:c>
      <x:c r="K388" t="n">
        <x:f>Raw_Orders!E388</x:f>
        <x:v>1</x:v>
      </x:c>
      <x:c r="L388" s="12" t="n">
        <x:f>Raw_Orders!F388</x:f>
        <x:v>0.15</x:v>
      </x:c>
      <x:c r="M388" s="14" t="n">
        <x:f>INDEX(Products!$D$2:$D$13,MATCH(G388,Products!$A$2:$A$13,0))</x:f>
        <x:v>110</x:v>
      </x:c>
      <x:c r="N388" s="14" t="n">
        <x:f>INDEX(Products!$E$2:$E$13,MATCH(G388,Products!$A$2:$A$13,0))</x:f>
        <x:v>58</x:v>
      </x:c>
      <x:c r="O388" s="14" t="n">
        <x:f>K388*M388</x:f>
        <x:v>110</x:v>
      </x:c>
      <x:c r="P388" s="14" t="n">
        <x:f>O388*(1-L388)</x:f>
        <x:v>93.5</x:v>
      </x:c>
      <x:c r="Q388" s="14" t="n">
        <x:f>K388*N388</x:f>
        <x:v>58</x:v>
      </x:c>
      <x:c r="R388" s="14" t="n">
        <x:f>P388-Q388</x:f>
        <x:v>35.5</x:v>
      </x:c>
      <x:c r="S388" s="16" t="n">
        <x:f>IFERROR(R388/P388,0)</x:f>
        <x:v>0.37967914438502676</x:v>
      </x:c>
    </x:row>
    <x:row r="389" ht="15" hidden="0" customHeight="1">
      <x:c r="A389" t="str">
        <x:f>Raw_Orders!A389</x:f>
        <x:v>O0388</x:v>
      </x:c>
      <x:c r="B389" s="10" t="n">
        <x:f>Raw_Orders!B389</x:f>
        <x:v>45793</x:v>
      </x:c>
      <x:c r="C389" t="str">
        <x:f>Raw_Orders!C389</x:f>
        <x:v>C027</x:v>
      </x:c>
      <x:c r="D389" t="str">
        <x:f>INDEX(Customers!$B$2:$B$81,MATCH(C389,Customers!$A$2:$A$81,0))</x:f>
        <x:v>Customer 27</x:v>
      </x:c>
      <x:c r="E389" t="str">
        <x:f>INDEX(Customers!$C$2:$C$81,MATCH(C389,Customers!$A$2:$A$81,0))</x:f>
        <x:v>Small Business</x:v>
      </x:c>
      <x:c r="F389" t="str">
        <x:f>INDEX(Customers!$D$2:$D$81,MATCH(C389,Customers!$A$2:$A$81,0))</x:f>
        <x:v>East</x:v>
      </x:c>
      <x:c r="G389" t="str">
        <x:f>Raw_Orders!D389</x:f>
        <x:v>P010</x:v>
      </x:c>
      <x:c r="H389" t="str">
        <x:f>INDEX(Products!$B$2:$B$13,MATCH(G389,Products!$A$2:$A$13,0))</x:f>
        <x:v>Portable SSD</x:v>
      </x:c>
      <x:c r="I389" t="str">
        <x:f>INDEX(Products!$C$2:$C$13,MATCH(G389,Products!$A$2:$A$13,0))</x:f>
        <x:v>Storage</x:v>
      </x:c>
      <x:c r="J389" t="str">
        <x:f>Raw_Orders!G389</x:f>
        <x:v>Partner</x:v>
      </x:c>
      <x:c r="K389" t="n">
        <x:f>Raw_Orders!E389</x:f>
        <x:v>4</x:v>
      </x:c>
      <x:c r="L389" s="12" t="n">
        <x:f>Raw_Orders!F389</x:f>
        <x:v>0.1</x:v>
      </x:c>
      <x:c r="M389" s="14" t="n">
        <x:f>INDEX(Products!$D$2:$D$13,MATCH(G389,Products!$A$2:$A$13,0))</x:f>
        <x:v>145</x:v>
      </x:c>
      <x:c r="N389" s="14" t="n">
        <x:f>INDEX(Products!$E$2:$E$13,MATCH(G389,Products!$A$2:$A$13,0))</x:f>
        <x:v>86</x:v>
      </x:c>
      <x:c r="O389" s="14" t="n">
        <x:f>K389*M389</x:f>
        <x:v>580</x:v>
      </x:c>
      <x:c r="P389" s="14" t="n">
        <x:f>O389*(1-L389)</x:f>
        <x:v>522</x:v>
      </x:c>
      <x:c r="Q389" s="14" t="n">
        <x:f>K389*N389</x:f>
        <x:v>344</x:v>
      </x:c>
      <x:c r="R389" s="14" t="n">
        <x:f>P389-Q389</x:f>
        <x:v>178</x:v>
      </x:c>
      <x:c r="S389" s="16" t="n">
        <x:f>IFERROR(R389/P389,0)</x:f>
        <x:v>0.34099616858237547</x:v>
      </x:c>
    </x:row>
    <x:row r="390" ht="15" hidden="0" customHeight="1">
      <x:c r="A390" t="str">
        <x:f>Raw_Orders!A390</x:f>
        <x:v>O0389</x:v>
      </x:c>
      <x:c r="B390" s="10" t="n">
        <x:f>Raw_Orders!B390</x:f>
        <x:v>45673</x:v>
      </x:c>
      <x:c r="C390" t="str">
        <x:f>Raw_Orders!C390</x:f>
        <x:v>C064</x:v>
      </x:c>
      <x:c r="D390" t="str">
        <x:f>INDEX(Customers!$B$2:$B$81,MATCH(C390,Customers!$A$2:$A$81,0))</x:f>
        <x:v>Customer 64</x:v>
      </x:c>
      <x:c r="E390" t="str">
        <x:f>INDEX(Customers!$C$2:$C$81,MATCH(C390,Customers!$A$2:$A$81,0))</x:f>
        <x:v>Consumer</x:v>
      </x:c>
      <x:c r="F390" t="str">
        <x:f>INDEX(Customers!$D$2:$D$81,MATCH(C390,Customers!$A$2:$A$81,0))</x:f>
        <x:v>West</x:v>
      </x:c>
      <x:c r="G390" t="str">
        <x:f>Raw_Orders!D390</x:f>
        <x:v>P011</x:v>
      </x:c>
      <x:c r="H390" t="str">
        <x:f>INDEX(Products!$B$2:$B$13,MATCH(G390,Products!$A$2:$A$13,0))</x:f>
        <x:v>External HDD</x:v>
      </x:c>
      <x:c r="I390" t="str">
        <x:f>INDEX(Products!$C$2:$C$13,MATCH(G390,Products!$A$2:$A$13,0))</x:f>
        <x:v>Storage</x:v>
      </x:c>
      <x:c r="J390" t="str">
        <x:f>Raw_Orders!G390</x:f>
        <x:v>Partner</x:v>
      </x:c>
      <x:c r="K390" t="n">
        <x:f>Raw_Orders!E390</x:f>
        <x:v>5</x:v>
      </x:c>
      <x:c r="L390" s="12" t="n">
        <x:f>Raw_Orders!F390</x:f>
        <x:v>0</x:v>
      </x:c>
      <x:c r="M390" s="14" t="n">
        <x:f>INDEX(Products!$D$2:$D$13,MATCH(G390,Products!$A$2:$A$13,0))</x:f>
        <x:v>120</x:v>
      </x:c>
      <x:c r="N390" s="14" t="n">
        <x:f>INDEX(Products!$E$2:$E$13,MATCH(G390,Products!$A$2:$A$13,0))</x:f>
        <x:v>72</x:v>
      </x:c>
      <x:c r="O390" s="14" t="n">
        <x:f>K390*M390</x:f>
        <x:v>600</x:v>
      </x:c>
      <x:c r="P390" s="14" t="n">
        <x:f>O390*(1-L390)</x:f>
        <x:v>600</x:v>
      </x:c>
      <x:c r="Q390" s="14" t="n">
        <x:f>K390*N390</x:f>
        <x:v>360</x:v>
      </x:c>
      <x:c r="R390" s="14" t="n">
        <x:f>P390-Q390</x:f>
        <x:v>240</x:v>
      </x:c>
      <x:c r="S390" s="16" t="n">
        <x:f>IFERROR(R390/P390,0)</x:f>
        <x:v>0.4</x:v>
      </x:c>
    </x:row>
    <x:row r="391" ht="15" hidden="0" customHeight="1">
      <x:c r="A391" t="str">
        <x:f>Raw_Orders!A391</x:f>
        <x:v>O0390</x:v>
      </x:c>
      <x:c r="B391" s="10" t="n">
        <x:f>Raw_Orders!B391</x:f>
        <x:v>45812</x:v>
      </x:c>
      <x:c r="C391" t="str">
        <x:f>Raw_Orders!C391</x:f>
        <x:v>C062</x:v>
      </x:c>
      <x:c r="D391" t="str">
        <x:f>INDEX(Customers!$B$2:$B$81,MATCH(C391,Customers!$A$2:$A$81,0))</x:f>
        <x:v>Customer 62</x:v>
      </x:c>
      <x:c r="E391" t="str">
        <x:f>INDEX(Customers!$C$2:$C$81,MATCH(C391,Customers!$A$2:$A$81,0))</x:f>
        <x:v>Corporate</x:v>
      </x:c>
      <x:c r="F391" t="str">
        <x:f>INDEX(Customers!$D$2:$D$81,MATCH(C391,Customers!$A$2:$A$81,0))</x:f>
        <x:v>South</x:v>
      </x:c>
      <x:c r="G391" t="str">
        <x:f>Raw_Orders!D391</x:f>
        <x:v>P004</x:v>
      </x:c>
      <x:c r="H391" t="str">
        <x:f>INDEX(Products!$B$2:$B$13,MATCH(G391,Products!$A$2:$A$13,0))</x:f>
        <x:v>24in Monitor</x:v>
      </x:c>
      <x:c r="I391" t="str">
        <x:f>INDEX(Products!$C$2:$C$13,MATCH(G391,Products!$A$2:$A$13,0))</x:f>
        <x:v>Displays</x:v>
      </x:c>
      <x:c r="J391" t="str">
        <x:f>Raw_Orders!G391</x:f>
        <x:v>Retail</x:v>
      </x:c>
      <x:c r="K391" t="n">
        <x:f>Raw_Orders!E391</x:f>
        <x:v>6</x:v>
      </x:c>
      <x:c r="L391" s="12" t="n">
        <x:f>Raw_Orders!F391</x:f>
        <x:v>0.05</x:v>
      </x:c>
      <x:c r="M391" s="14" t="n">
        <x:f>INDEX(Products!$D$2:$D$13,MATCH(G391,Products!$A$2:$A$13,0))</x:f>
        <x:v>220</x:v>
      </x:c>
      <x:c r="N391" s="14" t="n">
        <x:f>INDEX(Products!$E$2:$E$13,MATCH(G391,Products!$A$2:$A$13,0))</x:f>
        <x:v>142</x:v>
      </x:c>
      <x:c r="O391" s="14" t="n">
        <x:f>K391*M391</x:f>
        <x:v>1320</x:v>
      </x:c>
      <x:c r="P391" s="14" t="n">
        <x:f>O391*(1-L391)</x:f>
        <x:v>1254</x:v>
      </x:c>
      <x:c r="Q391" s="14" t="n">
        <x:f>K391*N391</x:f>
        <x:v>852</x:v>
      </x:c>
      <x:c r="R391" s="14" t="n">
        <x:f>P391-Q391</x:f>
        <x:v>402</x:v>
      </x:c>
      <x:c r="S391" s="16" t="n">
        <x:f>IFERROR(R391/P391,0)</x:f>
        <x:v>0.32057416267942584</x:v>
      </x:c>
    </x:row>
    <x:row r="392" ht="15" hidden="0" customHeight="1">
      <x:c r="A392" t="str">
        <x:f>Raw_Orders!A392</x:f>
        <x:v>O0391</x:v>
      </x:c>
      <x:c r="B392" s="10" t="n">
        <x:f>Raw_Orders!B392</x:f>
        <x:v>45890</x:v>
      </x:c>
      <x:c r="C392" t="str">
        <x:f>Raw_Orders!C392</x:f>
        <x:v>C010</x:v>
      </x:c>
      <x:c r="D392" t="str">
        <x:f>INDEX(Customers!$B$2:$B$81,MATCH(C392,Customers!$A$2:$A$81,0))</x:f>
        <x:v>Customer 10</x:v>
      </x:c>
      <x:c r="E392" t="str">
        <x:f>INDEX(Customers!$C$2:$C$81,MATCH(C392,Customers!$A$2:$A$81,0))</x:f>
        <x:v>Consumer</x:v>
      </x:c>
      <x:c r="F392" t="str">
        <x:f>INDEX(Customers!$D$2:$D$81,MATCH(C392,Customers!$A$2:$A$81,0))</x:f>
        <x:v>South</x:v>
      </x:c>
      <x:c r="G392" t="str">
        <x:f>Raw_Orders!D392</x:f>
        <x:v>P012</x:v>
      </x:c>
      <x:c r="H392" t="str">
        <x:f>INDEX(Products!$B$2:$B$13,MATCH(G392,Products!$A$2:$A$13,0))</x:f>
        <x:v>Docking Station</x:v>
      </x:c>
      <x:c r="I392" t="str">
        <x:f>INDEX(Products!$C$2:$C$13,MATCH(G392,Products!$A$2:$A$13,0))</x:f>
        <x:v>Accessories</x:v>
      </x:c>
      <x:c r="J392" t="str">
        <x:f>Raw_Orders!G392</x:f>
        <x:v>Retail</x:v>
      </x:c>
      <x:c r="K392" t="n">
        <x:f>Raw_Orders!E392</x:f>
        <x:v>1</x:v>
      </x:c>
      <x:c r="L392" s="12" t="n">
        <x:f>Raw_Orders!F392</x:f>
        <x:v>0</x:v>
      </x:c>
      <x:c r="M392" s="14" t="n">
        <x:f>INDEX(Products!$D$2:$D$13,MATCH(G392,Products!$A$2:$A$13,0))</x:f>
        <x:v>180</x:v>
      </x:c>
      <x:c r="N392" s="14" t="n">
        <x:f>INDEX(Products!$E$2:$E$13,MATCH(G392,Products!$A$2:$A$13,0))</x:f>
        <x:v>104</x:v>
      </x:c>
      <x:c r="O392" s="14" t="n">
        <x:f>K392*M392</x:f>
        <x:v>180</x:v>
      </x:c>
      <x:c r="P392" s="14" t="n">
        <x:f>O392*(1-L392)</x:f>
        <x:v>180</x:v>
      </x:c>
      <x:c r="Q392" s="14" t="n">
        <x:f>K392*N392</x:f>
        <x:v>104</x:v>
      </x:c>
      <x:c r="R392" s="14" t="n">
        <x:f>P392-Q392</x:f>
        <x:v>76</x:v>
      </x:c>
      <x:c r="S392" s="16" t="n">
        <x:f>IFERROR(R392/P392,0)</x:f>
        <x:v>0.4222222222222222</x:v>
      </x:c>
    </x:row>
    <x:row r="393" ht="15" hidden="0" customHeight="1">
      <x:c r="A393" t="str">
        <x:f>Raw_Orders!A393</x:f>
        <x:v>O0392</x:v>
      </x:c>
      <x:c r="B393" s="10" t="n">
        <x:f>Raw_Orders!B393</x:f>
        <x:v>45870</x:v>
      </x:c>
      <x:c r="C393" t="str">
        <x:f>Raw_Orders!C393</x:f>
        <x:v>C062</x:v>
      </x:c>
      <x:c r="D393" t="str">
        <x:f>INDEX(Customers!$B$2:$B$81,MATCH(C393,Customers!$A$2:$A$81,0))</x:f>
        <x:v>Customer 62</x:v>
      </x:c>
      <x:c r="E393" t="str">
        <x:f>INDEX(Customers!$C$2:$C$81,MATCH(C393,Customers!$A$2:$A$81,0))</x:f>
        <x:v>Corporate</x:v>
      </x:c>
      <x:c r="F393" t="str">
        <x:f>INDEX(Customers!$D$2:$D$81,MATCH(C393,Customers!$A$2:$A$81,0))</x:f>
        <x:v>South</x:v>
      </x:c>
      <x:c r="G393" t="str">
        <x:f>Raw_Orders!D393</x:f>
        <x:v>P008</x:v>
      </x:c>
      <x:c r="H393" t="str">
        <x:f>INDEX(Products!$B$2:$B$13,MATCH(G393,Products!$A$2:$A$13,0))</x:f>
        <x:v>Webcam</x:v>
      </x:c>
      <x:c r="I393" t="str">
        <x:f>INDEX(Products!$C$2:$C$13,MATCH(G393,Products!$A$2:$A$13,0))</x:f>
        <x:v>Accessories</x:v>
      </x:c>
      <x:c r="J393" t="str">
        <x:f>Raw_Orders!G393</x:f>
        <x:v>Partner</x:v>
      </x:c>
      <x:c r="K393" t="n">
        <x:f>Raw_Orders!E393</x:f>
        <x:v>2</x:v>
      </x:c>
      <x:c r="L393" s="12" t="n">
        <x:f>Raw_Orders!F393</x:f>
        <x:v>0</x:v>
      </x:c>
      <x:c r="M393" s="14" t="n">
        <x:f>INDEX(Products!$D$2:$D$13,MATCH(G393,Products!$A$2:$A$13,0))</x:f>
        <x:v>95</x:v>
      </x:c>
      <x:c r="N393" s="14" t="n">
        <x:f>INDEX(Products!$E$2:$E$13,MATCH(G393,Products!$A$2:$A$13,0))</x:f>
        <x:v>49</x:v>
      </x:c>
      <x:c r="O393" s="14" t="n">
        <x:f>K393*M393</x:f>
        <x:v>190</x:v>
      </x:c>
      <x:c r="P393" s="14" t="n">
        <x:f>O393*(1-L393)</x:f>
        <x:v>190</x:v>
      </x:c>
      <x:c r="Q393" s="14" t="n">
        <x:f>K393*N393</x:f>
        <x:v>98</x:v>
      </x:c>
      <x:c r="R393" s="14" t="n">
        <x:f>P393-Q393</x:f>
        <x:v>92</x:v>
      </x:c>
      <x:c r="S393" s="16" t="n">
        <x:f>IFERROR(R393/P393,0)</x:f>
        <x:v>0.4842105263157895</x:v>
      </x:c>
    </x:row>
    <x:row r="394" ht="15" hidden="0" customHeight="1">
      <x:c r="A394" t="str">
        <x:f>Raw_Orders!A394</x:f>
        <x:v>O0393</x:v>
      </x:c>
      <x:c r="B394" s="10" t="n">
        <x:f>Raw_Orders!B394</x:f>
        <x:v>45731</x:v>
      </x:c>
      <x:c r="C394" t="str">
        <x:f>Raw_Orders!C394</x:f>
        <x:v>C041</x:v>
      </x:c>
      <x:c r="D394" t="str">
        <x:f>INDEX(Customers!$B$2:$B$81,MATCH(C394,Customers!$A$2:$A$81,0))</x:f>
        <x:v>Customer 41</x:v>
      </x:c>
      <x:c r="E394" t="str">
        <x:f>INDEX(Customers!$C$2:$C$81,MATCH(C394,Customers!$A$2:$A$81,0))</x:f>
        <x:v>Corporate</x:v>
      </x:c>
      <x:c r="F394" t="str">
        <x:f>INDEX(Customers!$D$2:$D$81,MATCH(C394,Customers!$A$2:$A$81,0))</x:f>
        <x:v>North</x:v>
      </x:c>
      <x:c r="G394" t="str">
        <x:f>Raw_Orders!D394</x:f>
        <x:v>P012</x:v>
      </x:c>
      <x:c r="H394" t="str">
        <x:f>INDEX(Products!$B$2:$B$13,MATCH(G394,Products!$A$2:$A$13,0))</x:f>
        <x:v>Docking Station</x:v>
      </x:c>
      <x:c r="I394" t="str">
        <x:f>INDEX(Products!$C$2:$C$13,MATCH(G394,Products!$A$2:$A$13,0))</x:f>
        <x:v>Accessories</x:v>
      </x:c>
      <x:c r="J394" t="str">
        <x:f>Raw_Orders!G394</x:f>
        <x:v>Retail</x:v>
      </x:c>
      <x:c r="K394" t="n">
        <x:f>Raw_Orders!E394</x:f>
        <x:v>3</x:v>
      </x:c>
      <x:c r="L394" s="12" t="n">
        <x:f>Raw_Orders!F394</x:f>
        <x:v>0.15</x:v>
      </x:c>
      <x:c r="M394" s="14" t="n">
        <x:f>INDEX(Products!$D$2:$D$13,MATCH(G394,Products!$A$2:$A$13,0))</x:f>
        <x:v>180</x:v>
      </x:c>
      <x:c r="N394" s="14" t="n">
        <x:f>INDEX(Products!$E$2:$E$13,MATCH(G394,Products!$A$2:$A$13,0))</x:f>
        <x:v>104</x:v>
      </x:c>
      <x:c r="O394" s="14" t="n">
        <x:f>K394*M394</x:f>
        <x:v>540</x:v>
      </x:c>
      <x:c r="P394" s="14" t="n">
        <x:f>O394*(1-L394)</x:f>
        <x:v>459</x:v>
      </x:c>
      <x:c r="Q394" s="14" t="n">
        <x:f>K394*N394</x:f>
        <x:v>312</x:v>
      </x:c>
      <x:c r="R394" s="14" t="n">
        <x:f>P394-Q394</x:f>
        <x:v>147</x:v>
      </x:c>
      <x:c r="S394" s="16" t="n">
        <x:f>IFERROR(R394/P394,0)</x:f>
        <x:v>0.3202614379084967</x:v>
      </x:c>
    </x:row>
    <x:row r="395" ht="15" hidden="0" customHeight="1">
      <x:c r="A395" t="str">
        <x:f>Raw_Orders!A395</x:f>
        <x:v>O0394</x:v>
      </x:c>
      <x:c r="B395" s="10" t="n">
        <x:f>Raw_Orders!B395</x:f>
        <x:v>45862</x:v>
      </x:c>
      <x:c r="C395" t="str">
        <x:f>Raw_Orders!C395</x:f>
        <x:v>C017</x:v>
      </x:c>
      <x:c r="D395" t="str">
        <x:f>INDEX(Customers!$B$2:$B$81,MATCH(C395,Customers!$A$2:$A$81,0))</x:f>
        <x:v>Customer 17</x:v>
      </x:c>
      <x:c r="E395" t="str">
        <x:f>INDEX(Customers!$C$2:$C$81,MATCH(C395,Customers!$A$2:$A$81,0))</x:f>
        <x:v>Corporate</x:v>
      </x:c>
      <x:c r="F395" t="str">
        <x:f>INDEX(Customers!$D$2:$D$81,MATCH(C395,Customers!$A$2:$A$81,0))</x:f>
        <x:v>North</x:v>
      </x:c>
      <x:c r="G395" t="str">
        <x:f>Raw_Orders!D395</x:f>
        <x:v>P006</x:v>
      </x:c>
      <x:c r="H395" t="str">
        <x:f>INDEX(Products!$B$2:$B$13,MATCH(G395,Products!$A$2:$A$13,0))</x:f>
        <x:v>Laptop Stand</x:v>
      </x:c>
      <x:c r="I395" t="str">
        <x:f>INDEX(Products!$C$2:$C$13,MATCH(G395,Products!$A$2:$A$13,0))</x:f>
        <x:v>Office</x:v>
      </x:c>
      <x:c r="J395" t="str">
        <x:f>Raw_Orders!G395</x:f>
        <x:v>Online</x:v>
      </x:c>
      <x:c r="K395" t="n">
        <x:f>Raw_Orders!E395</x:f>
        <x:v>5</x:v>
      </x:c>
      <x:c r="L395" s="12" t="n">
        <x:f>Raw_Orders!F395</x:f>
        <x:v>0.1</x:v>
      </x:c>
      <x:c r="M395" s="14" t="n">
        <x:f>INDEX(Products!$D$2:$D$13,MATCH(G395,Products!$A$2:$A$13,0))</x:f>
        <x:v>55</x:v>
      </x:c>
      <x:c r="N395" s="14" t="n">
        <x:f>INDEX(Products!$E$2:$E$13,MATCH(G395,Products!$A$2:$A$13,0))</x:f>
        <x:v>24</x:v>
      </x:c>
      <x:c r="O395" s="14" t="n">
        <x:f>K395*M395</x:f>
        <x:v>275</x:v>
      </x:c>
      <x:c r="P395" s="14" t="n">
        <x:f>O395*(1-L395)</x:f>
        <x:v>247.5</x:v>
      </x:c>
      <x:c r="Q395" s="14" t="n">
        <x:f>K395*N395</x:f>
        <x:v>120</x:v>
      </x:c>
      <x:c r="R395" s="14" t="n">
        <x:f>P395-Q395</x:f>
        <x:v>127.5</x:v>
      </x:c>
      <x:c r="S395" s="16" t="n">
        <x:f>IFERROR(R395/P395,0)</x:f>
        <x:v>0.5151515151515151</x:v>
      </x:c>
    </x:row>
    <x:row r="396" ht="15" hidden="0" customHeight="1">
      <x:c r="A396" t="str">
        <x:f>Raw_Orders!A396</x:f>
        <x:v>O0395</x:v>
      </x:c>
      <x:c r="B396" s="10" t="n">
        <x:f>Raw_Orders!B396</x:f>
        <x:v>45821</x:v>
      </x:c>
      <x:c r="C396" t="str">
        <x:f>Raw_Orders!C396</x:f>
        <x:v>C031</x:v>
      </x:c>
      <x:c r="D396" t="str">
        <x:f>INDEX(Customers!$B$2:$B$81,MATCH(C396,Customers!$A$2:$A$81,0))</x:f>
        <x:v>Customer 31</x:v>
      </x:c>
      <x:c r="E396" t="str">
        <x:f>INDEX(Customers!$C$2:$C$81,MATCH(C396,Customers!$A$2:$A$81,0))</x:f>
        <x:v>Consumer</x:v>
      </x:c>
      <x:c r="F396" t="str">
        <x:f>INDEX(Customers!$D$2:$D$81,MATCH(C396,Customers!$A$2:$A$81,0))</x:f>
        <x:v>East</x:v>
      </x:c>
      <x:c r="G396" t="str">
        <x:f>Raw_Orders!D396</x:f>
        <x:v>P008</x:v>
      </x:c>
      <x:c r="H396" t="str">
        <x:f>INDEX(Products!$B$2:$B$13,MATCH(G396,Products!$A$2:$A$13,0))</x:f>
        <x:v>Webcam</x:v>
      </x:c>
      <x:c r="I396" t="str">
        <x:f>INDEX(Products!$C$2:$C$13,MATCH(G396,Products!$A$2:$A$13,0))</x:f>
        <x:v>Accessories</x:v>
      </x:c>
      <x:c r="J396" t="str">
        <x:f>Raw_Orders!G396</x:f>
        <x:v>Retail</x:v>
      </x:c>
      <x:c r="K396" t="n">
        <x:f>Raw_Orders!E396</x:f>
        <x:v>1</x:v>
      </x:c>
      <x:c r="L396" s="12" t="n">
        <x:f>Raw_Orders!F396</x:f>
        <x:v>0</x:v>
      </x:c>
      <x:c r="M396" s="14" t="n">
        <x:f>INDEX(Products!$D$2:$D$13,MATCH(G396,Products!$A$2:$A$13,0))</x:f>
        <x:v>95</x:v>
      </x:c>
      <x:c r="N396" s="14" t="n">
        <x:f>INDEX(Products!$E$2:$E$13,MATCH(G396,Products!$A$2:$A$13,0))</x:f>
        <x:v>49</x:v>
      </x:c>
      <x:c r="O396" s="14" t="n">
        <x:f>K396*M396</x:f>
        <x:v>95</x:v>
      </x:c>
      <x:c r="P396" s="14" t="n">
        <x:f>O396*(1-L396)</x:f>
        <x:v>95</x:v>
      </x:c>
      <x:c r="Q396" s="14" t="n">
        <x:f>K396*N396</x:f>
        <x:v>49</x:v>
      </x:c>
      <x:c r="R396" s="14" t="n">
        <x:f>P396-Q396</x:f>
        <x:v>46</x:v>
      </x:c>
      <x:c r="S396" s="16" t="n">
        <x:f>IFERROR(R396/P396,0)</x:f>
        <x:v>0.4842105263157895</x:v>
      </x:c>
    </x:row>
    <x:row r="397" ht="15" hidden="0" customHeight="1">
      <x:c r="A397" t="str">
        <x:f>Raw_Orders!A397</x:f>
        <x:v>O0396</x:v>
      </x:c>
      <x:c r="B397" s="10" t="n">
        <x:f>Raw_Orders!B397</x:f>
        <x:v>45784</x:v>
      </x:c>
      <x:c r="C397" t="str">
        <x:f>Raw_Orders!C397</x:f>
        <x:v>C019</x:v>
      </x:c>
      <x:c r="D397" t="str">
        <x:f>INDEX(Customers!$B$2:$B$81,MATCH(C397,Customers!$A$2:$A$81,0))</x:f>
        <x:v>Customer 19</x:v>
      </x:c>
      <x:c r="E397" t="str">
        <x:f>INDEX(Customers!$C$2:$C$81,MATCH(C397,Customers!$A$2:$A$81,0))</x:f>
        <x:v>Consumer</x:v>
      </x:c>
      <x:c r="F397" t="str">
        <x:f>INDEX(Customers!$D$2:$D$81,MATCH(C397,Customers!$A$2:$A$81,0))</x:f>
        <x:v>East</x:v>
      </x:c>
      <x:c r="G397" t="str">
        <x:f>Raw_Orders!D397</x:f>
        <x:v>P002</x:v>
      </x:c>
      <x:c r="H397" t="str">
        <x:f>INDEX(Products!$B$2:$B$13,MATCH(G397,Products!$A$2:$A$13,0))</x:f>
        <x:v>Mechanical Keyboard</x:v>
      </x:c>
      <x:c r="I397" t="str">
        <x:f>INDEX(Products!$C$2:$C$13,MATCH(G397,Products!$A$2:$A$13,0))</x:f>
        <x:v>Accessories</x:v>
      </x:c>
      <x:c r="J397" t="str">
        <x:f>Raw_Orders!G397</x:f>
        <x:v>Retail</x:v>
      </x:c>
      <x:c r="K397" t="n">
        <x:f>Raw_Orders!E397</x:f>
        <x:v>1</x:v>
      </x:c>
      <x:c r="L397" s="12" t="n">
        <x:f>Raw_Orders!F397</x:f>
        <x:v>0</x:v>
      </x:c>
      <x:c r="M397" s="14" t="n">
        <x:f>INDEX(Products!$D$2:$D$13,MATCH(G397,Products!$A$2:$A$13,0))</x:f>
        <x:v>110</x:v>
      </x:c>
      <x:c r="N397" s="14" t="n">
        <x:f>INDEX(Products!$E$2:$E$13,MATCH(G397,Products!$A$2:$A$13,0))</x:f>
        <x:v>58</x:v>
      </x:c>
      <x:c r="O397" s="14" t="n">
        <x:f>K397*M397</x:f>
        <x:v>110</x:v>
      </x:c>
      <x:c r="P397" s="14" t="n">
        <x:f>O397*(1-L397)</x:f>
        <x:v>110</x:v>
      </x:c>
      <x:c r="Q397" s="14" t="n">
        <x:f>K397*N397</x:f>
        <x:v>58</x:v>
      </x:c>
      <x:c r="R397" s="14" t="n">
        <x:f>P397-Q397</x:f>
        <x:v>52</x:v>
      </x:c>
      <x:c r="S397" s="16" t="n">
        <x:f>IFERROR(R397/P397,0)</x:f>
        <x:v>0.4727272727272727</x:v>
      </x:c>
    </x:row>
    <x:row r="398" ht="15" hidden="0" customHeight="1">
      <x:c r="A398" t="str">
        <x:f>Raw_Orders!A398</x:f>
        <x:v>O0397</x:v>
      </x:c>
      <x:c r="B398" s="10" t="n">
        <x:f>Raw_Orders!B398</x:f>
        <x:v>45973</x:v>
      </x:c>
      <x:c r="C398" t="str">
        <x:f>Raw_Orders!C398</x:f>
        <x:v>C054</x:v>
      </x:c>
      <x:c r="D398" t="str">
        <x:f>INDEX(Customers!$B$2:$B$81,MATCH(C398,Customers!$A$2:$A$81,0))</x:f>
        <x:v>Customer 54</x:v>
      </x:c>
      <x:c r="E398" t="str">
        <x:f>INDEX(Customers!$C$2:$C$81,MATCH(C398,Customers!$A$2:$A$81,0))</x:f>
        <x:v>Small Business</x:v>
      </x:c>
      <x:c r="F398" t="str">
        <x:f>INDEX(Customers!$D$2:$D$81,MATCH(C398,Customers!$A$2:$A$81,0))</x:f>
        <x:v>South</x:v>
      </x:c>
      <x:c r="G398" t="str">
        <x:f>Raw_Orders!D398</x:f>
        <x:v>P004</x:v>
      </x:c>
      <x:c r="H398" t="str">
        <x:f>INDEX(Products!$B$2:$B$13,MATCH(G398,Products!$A$2:$A$13,0))</x:f>
        <x:v>24in Monitor</x:v>
      </x:c>
      <x:c r="I398" t="str">
        <x:f>INDEX(Products!$C$2:$C$13,MATCH(G398,Products!$A$2:$A$13,0))</x:f>
        <x:v>Displays</x:v>
      </x:c>
      <x:c r="J398" t="str">
        <x:f>Raw_Orders!G398</x:f>
        <x:v>Partner</x:v>
      </x:c>
      <x:c r="K398" t="n">
        <x:f>Raw_Orders!E398</x:f>
        <x:v>2</x:v>
      </x:c>
      <x:c r="L398" s="12" t="n">
        <x:f>Raw_Orders!F398</x:f>
        <x:v>0</x:v>
      </x:c>
      <x:c r="M398" s="14" t="n">
        <x:f>INDEX(Products!$D$2:$D$13,MATCH(G398,Products!$A$2:$A$13,0))</x:f>
        <x:v>220</x:v>
      </x:c>
      <x:c r="N398" s="14" t="n">
        <x:f>INDEX(Products!$E$2:$E$13,MATCH(G398,Products!$A$2:$A$13,0))</x:f>
        <x:v>142</x:v>
      </x:c>
      <x:c r="O398" s="14" t="n">
        <x:f>K398*M398</x:f>
        <x:v>440</x:v>
      </x:c>
      <x:c r="P398" s="14" t="n">
        <x:f>O398*(1-L398)</x:f>
        <x:v>440</x:v>
      </x:c>
      <x:c r="Q398" s="14" t="n">
        <x:f>K398*N398</x:f>
        <x:v>284</x:v>
      </x:c>
      <x:c r="R398" s="14" t="n">
        <x:f>P398-Q398</x:f>
        <x:v>156</x:v>
      </x:c>
      <x:c r="S398" s="16" t="n">
        <x:f>IFERROR(R398/P398,0)</x:f>
        <x:v>0.35454545454545455</x:v>
      </x:c>
    </x:row>
    <x:row r="399" ht="15" hidden="0" customHeight="1">
      <x:c r="A399" t="str">
        <x:f>Raw_Orders!A399</x:f>
        <x:v>O0398</x:v>
      </x:c>
      <x:c r="B399" s="10" t="n">
        <x:f>Raw_Orders!B399</x:f>
        <x:v>45818</x:v>
      </x:c>
      <x:c r="C399" t="str">
        <x:f>Raw_Orders!C399</x:f>
        <x:v>C025</x:v>
      </x:c>
      <x:c r="D399" t="str">
        <x:f>INDEX(Customers!$B$2:$B$81,MATCH(C399,Customers!$A$2:$A$81,0))</x:f>
        <x:v>Customer 25</x:v>
      </x:c>
      <x:c r="E399" t="str">
        <x:f>INDEX(Customers!$C$2:$C$81,MATCH(C399,Customers!$A$2:$A$81,0))</x:f>
        <x:v>Consumer</x:v>
      </x:c>
      <x:c r="F399" t="str">
        <x:f>INDEX(Customers!$D$2:$D$81,MATCH(C399,Customers!$A$2:$A$81,0))</x:f>
        <x:v>North</x:v>
      </x:c>
      <x:c r="G399" t="str">
        <x:f>Raw_Orders!D399</x:f>
        <x:v>P003</x:v>
      </x:c>
      <x:c r="H399" t="str">
        <x:f>INDEX(Products!$B$2:$B$13,MATCH(G399,Products!$A$2:$A$13,0))</x:f>
        <x:v>USB-C Hub</x:v>
      </x:c>
      <x:c r="I399" t="str">
        <x:f>INDEX(Products!$C$2:$C$13,MATCH(G399,Products!$A$2:$A$13,0))</x:f>
        <x:v>Accessories</x:v>
      </x:c>
      <x:c r="J399" t="str">
        <x:f>Raw_Orders!G399</x:f>
        <x:v>Retail</x:v>
      </x:c>
      <x:c r="K399" t="n">
        <x:f>Raw_Orders!E399</x:f>
        <x:v>4</x:v>
      </x:c>
      <x:c r="L399" s="12" t="n">
        <x:f>Raw_Orders!F399</x:f>
        <x:v>0.1</x:v>
      </x:c>
      <x:c r="M399" s="14" t="n">
        <x:f>INDEX(Products!$D$2:$D$13,MATCH(G399,Products!$A$2:$A$13,0))</x:f>
        <x:v>65</x:v>
      </x:c>
      <x:c r="N399" s="14" t="n">
        <x:f>INDEX(Products!$E$2:$E$13,MATCH(G399,Products!$A$2:$A$13,0))</x:f>
        <x:v>31</x:v>
      </x:c>
      <x:c r="O399" s="14" t="n">
        <x:f>K399*M399</x:f>
        <x:v>260</x:v>
      </x:c>
      <x:c r="P399" s="14" t="n">
        <x:f>O399*(1-L399)</x:f>
        <x:v>234</x:v>
      </x:c>
      <x:c r="Q399" s="14" t="n">
        <x:f>K399*N399</x:f>
        <x:v>124</x:v>
      </x:c>
      <x:c r="R399" s="14" t="n">
        <x:f>P399-Q399</x:f>
        <x:v>110</x:v>
      </x:c>
      <x:c r="S399" s="16" t="n">
        <x:f>IFERROR(R399/P399,0)</x:f>
        <x:v>0.4700854700854701</x:v>
      </x:c>
    </x:row>
    <x:row r="400" ht="15" hidden="0" customHeight="1">
      <x:c r="A400" t="str">
        <x:f>Raw_Orders!A400</x:f>
        <x:v>O0399</x:v>
      </x:c>
      <x:c r="B400" s="10" t="n">
        <x:f>Raw_Orders!B400</x:f>
        <x:v>45913</x:v>
      </x:c>
      <x:c r="C400" t="str">
        <x:f>Raw_Orders!C400</x:f>
        <x:v>C040</x:v>
      </x:c>
      <x:c r="D400" t="str">
        <x:f>INDEX(Customers!$B$2:$B$81,MATCH(C400,Customers!$A$2:$A$81,0))</x:f>
        <x:v>Customer 40</x:v>
      </x:c>
      <x:c r="E400" t="str">
        <x:f>INDEX(Customers!$C$2:$C$81,MATCH(C400,Customers!$A$2:$A$81,0))</x:f>
        <x:v>Consumer</x:v>
      </x:c>
      <x:c r="F400" t="str">
        <x:f>INDEX(Customers!$D$2:$D$81,MATCH(C400,Customers!$A$2:$A$81,0))</x:f>
        <x:v>West</x:v>
      </x:c>
      <x:c r="G400" t="str">
        <x:f>Raw_Orders!D400</x:f>
        <x:v>P008</x:v>
      </x:c>
      <x:c r="H400" t="str">
        <x:f>INDEX(Products!$B$2:$B$13,MATCH(G400,Products!$A$2:$A$13,0))</x:f>
        <x:v>Webcam</x:v>
      </x:c>
      <x:c r="I400" t="str">
        <x:f>INDEX(Products!$C$2:$C$13,MATCH(G400,Products!$A$2:$A$13,0))</x:f>
        <x:v>Accessories</x:v>
      </x:c>
      <x:c r="J400" t="str">
        <x:f>Raw_Orders!G400</x:f>
        <x:v>Retail</x:v>
      </x:c>
      <x:c r="K400" t="n">
        <x:f>Raw_Orders!E400</x:f>
        <x:v>1</x:v>
      </x:c>
      <x:c r="L400" s="12" t="n">
        <x:f>Raw_Orders!F400</x:f>
        <x:v>0</x:v>
      </x:c>
      <x:c r="M400" s="14" t="n">
        <x:f>INDEX(Products!$D$2:$D$13,MATCH(G400,Products!$A$2:$A$13,0))</x:f>
        <x:v>95</x:v>
      </x:c>
      <x:c r="N400" s="14" t="n">
        <x:f>INDEX(Products!$E$2:$E$13,MATCH(G400,Products!$A$2:$A$13,0))</x:f>
        <x:v>49</x:v>
      </x:c>
      <x:c r="O400" s="14" t="n">
        <x:f>K400*M400</x:f>
        <x:v>95</x:v>
      </x:c>
      <x:c r="P400" s="14" t="n">
        <x:f>O400*(1-L400)</x:f>
        <x:v>95</x:v>
      </x:c>
      <x:c r="Q400" s="14" t="n">
        <x:f>K400*N400</x:f>
        <x:v>49</x:v>
      </x:c>
      <x:c r="R400" s="14" t="n">
        <x:f>P400-Q400</x:f>
        <x:v>46</x:v>
      </x:c>
      <x:c r="S400" s="16" t="n">
        <x:f>IFERROR(R400/P400,0)</x:f>
        <x:v>0.4842105263157895</x:v>
      </x:c>
    </x:row>
    <x:row r="401" ht="15" hidden="0" customHeight="1">
      <x:c r="A401" t="str">
        <x:f>Raw_Orders!A401</x:f>
        <x:v>O0400</x:v>
      </x:c>
      <x:c r="B401" s="10" t="n">
        <x:f>Raw_Orders!B401</x:f>
        <x:v>45916</x:v>
      </x:c>
      <x:c r="C401" t="str">
        <x:f>Raw_Orders!C401</x:f>
        <x:v>C059</x:v>
      </x:c>
      <x:c r="D401" t="str">
        <x:f>INDEX(Customers!$B$2:$B$81,MATCH(C401,Customers!$A$2:$A$81,0))</x:f>
        <x:v>Customer 59</x:v>
      </x:c>
      <x:c r="E401" t="str">
        <x:f>INDEX(Customers!$C$2:$C$81,MATCH(C401,Customers!$A$2:$A$81,0))</x:f>
        <x:v>Corporate</x:v>
      </x:c>
      <x:c r="F401" t="str">
        <x:f>INDEX(Customers!$D$2:$D$81,MATCH(C401,Customers!$A$2:$A$81,0))</x:f>
        <x:v>East</x:v>
      </x:c>
      <x:c r="G401" t="str">
        <x:f>Raw_Orders!D401</x:f>
        <x:v>P004</x:v>
      </x:c>
      <x:c r="H401" t="str">
        <x:f>INDEX(Products!$B$2:$B$13,MATCH(G401,Products!$A$2:$A$13,0))</x:f>
        <x:v>24in Monitor</x:v>
      </x:c>
      <x:c r="I401" t="str">
        <x:f>INDEX(Products!$C$2:$C$13,MATCH(G401,Products!$A$2:$A$13,0))</x:f>
        <x:v>Displays</x:v>
      </x:c>
      <x:c r="J401" t="str">
        <x:f>Raw_Orders!G401</x:f>
        <x:v>Retail</x:v>
      </x:c>
      <x:c r="K401" t="n">
        <x:f>Raw_Orders!E401</x:f>
        <x:v>2</x:v>
      </x:c>
      <x:c r="L401" s="12" t="n">
        <x:f>Raw_Orders!F401</x:f>
        <x:v>0.1</x:v>
      </x:c>
      <x:c r="M401" s="14" t="n">
        <x:f>INDEX(Products!$D$2:$D$13,MATCH(G401,Products!$A$2:$A$13,0))</x:f>
        <x:v>220</x:v>
      </x:c>
      <x:c r="N401" s="14" t="n">
        <x:f>INDEX(Products!$E$2:$E$13,MATCH(G401,Products!$A$2:$A$13,0))</x:f>
        <x:v>142</x:v>
      </x:c>
      <x:c r="O401" s="14" t="n">
        <x:f>K401*M401</x:f>
        <x:v>440</x:v>
      </x:c>
      <x:c r="P401" s="14" t="n">
        <x:f>O401*(1-L401)</x:f>
        <x:v>396</x:v>
      </x:c>
      <x:c r="Q401" s="14" t="n">
        <x:f>K401*N401</x:f>
        <x:v>284</x:v>
      </x:c>
      <x:c r="R401" s="14" t="n">
        <x:f>P401-Q401</x:f>
        <x:v>112</x:v>
      </x:c>
      <x:c r="S401" s="16" t="n">
        <x:f>IFERROR(R401/P401,0)</x:f>
        <x:v>0.2828282828282828</x:v>
      </x:c>
    </x:row>
    <x:row r="402" ht="15" hidden="0" customHeight="1">
      <x:c r="A402" t="str">
        <x:f>Raw_Orders!A402</x:f>
        <x:v>O0401</x:v>
      </x:c>
      <x:c r="B402" s="10" t="n">
        <x:f>Raw_Orders!B402</x:f>
        <x:v>45682</x:v>
      </x:c>
      <x:c r="C402" t="str">
        <x:f>Raw_Orders!C402</x:f>
        <x:v>C007</x:v>
      </x:c>
      <x:c r="D402" t="str">
        <x:f>INDEX(Customers!$B$2:$B$81,MATCH(C402,Customers!$A$2:$A$81,0))</x:f>
        <x:v>Customer 07</x:v>
      </x:c>
      <x:c r="E402" t="str">
        <x:f>INDEX(Customers!$C$2:$C$81,MATCH(C402,Customers!$A$2:$A$81,0))</x:f>
        <x:v>Consumer</x:v>
      </x:c>
      <x:c r="F402" t="str">
        <x:f>INDEX(Customers!$D$2:$D$81,MATCH(C402,Customers!$A$2:$A$81,0))</x:f>
        <x:v>East</x:v>
      </x:c>
      <x:c r="G402" t="str">
        <x:f>Raw_Orders!D402</x:f>
        <x:v>P005</x:v>
      </x:c>
      <x:c r="H402" t="str">
        <x:f>INDEX(Products!$B$2:$B$13,MATCH(G402,Products!$A$2:$A$13,0))</x:f>
        <x:v>27in Monitor</x:v>
      </x:c>
      <x:c r="I402" t="str">
        <x:f>INDEX(Products!$C$2:$C$13,MATCH(G402,Products!$A$2:$A$13,0))</x:f>
        <x:v>Displays</x:v>
      </x:c>
      <x:c r="J402" t="str">
        <x:f>Raw_Orders!G402</x:f>
        <x:v>Partner</x:v>
      </x:c>
      <x:c r="K402" t="n">
        <x:f>Raw_Orders!E402</x:f>
        <x:v>4</x:v>
      </x:c>
      <x:c r="L402" s="12" t="n">
        <x:f>Raw_Orders!F402</x:f>
        <x:v>0.1</x:v>
      </x:c>
      <x:c r="M402" s="14" t="n">
        <x:f>INDEX(Products!$D$2:$D$13,MATCH(G402,Products!$A$2:$A$13,0))</x:f>
        <x:v>310</x:v>
      </x:c>
      <x:c r="N402" s="14" t="n">
        <x:f>INDEX(Products!$E$2:$E$13,MATCH(G402,Products!$A$2:$A$13,0))</x:f>
        <x:v>205</x:v>
      </x:c>
      <x:c r="O402" s="14" t="n">
        <x:f>K402*M402</x:f>
        <x:v>1240</x:v>
      </x:c>
      <x:c r="P402" s="14" t="n">
        <x:f>O402*(1-L402)</x:f>
        <x:v>1116</x:v>
      </x:c>
      <x:c r="Q402" s="14" t="n">
        <x:f>K402*N402</x:f>
        <x:v>820</x:v>
      </x:c>
      <x:c r="R402" s="14" t="n">
        <x:f>P402-Q402</x:f>
        <x:v>296</x:v>
      </x:c>
      <x:c r="S402" s="16" t="n">
        <x:f>IFERROR(R402/P402,0)</x:f>
        <x:v>0.26523297491039427</x:v>
      </x:c>
    </x:row>
    <x:row r="403" ht="15" hidden="0" customHeight="1">
      <x:c r="A403" t="str">
        <x:f>Raw_Orders!A403</x:f>
        <x:v>O0402</x:v>
      </x:c>
      <x:c r="B403" s="10" t="n">
        <x:f>Raw_Orders!B403</x:f>
        <x:v>46002</x:v>
      </x:c>
      <x:c r="C403" t="str">
        <x:f>Raw_Orders!C403</x:f>
        <x:v>C061</x:v>
      </x:c>
      <x:c r="D403" t="str">
        <x:f>INDEX(Customers!$B$2:$B$81,MATCH(C403,Customers!$A$2:$A$81,0))</x:f>
        <x:v>Customer 61</x:v>
      </x:c>
      <x:c r="E403" t="str">
        <x:f>INDEX(Customers!$C$2:$C$81,MATCH(C403,Customers!$A$2:$A$81,0))</x:f>
        <x:v>Consumer</x:v>
      </x:c>
      <x:c r="F403" t="str">
        <x:f>INDEX(Customers!$D$2:$D$81,MATCH(C403,Customers!$A$2:$A$81,0))</x:f>
        <x:v>North</x:v>
      </x:c>
      <x:c r="G403" t="str">
        <x:f>Raw_Orders!D403</x:f>
        <x:v>P005</x:v>
      </x:c>
      <x:c r="H403" t="str">
        <x:f>INDEX(Products!$B$2:$B$13,MATCH(G403,Products!$A$2:$A$13,0))</x:f>
        <x:v>27in Monitor</x:v>
      </x:c>
      <x:c r="I403" t="str">
        <x:f>INDEX(Products!$C$2:$C$13,MATCH(G403,Products!$A$2:$A$13,0))</x:f>
        <x:v>Displays</x:v>
      </x:c>
      <x:c r="J403" t="str">
        <x:f>Raw_Orders!G403</x:f>
        <x:v>Online</x:v>
      </x:c>
      <x:c r="K403" t="n">
        <x:f>Raw_Orders!E403</x:f>
        <x:v>5</x:v>
      </x:c>
      <x:c r="L403" s="12" t="n">
        <x:f>Raw_Orders!F403</x:f>
        <x:v>0</x:v>
      </x:c>
      <x:c r="M403" s="14" t="n">
        <x:f>INDEX(Products!$D$2:$D$13,MATCH(G403,Products!$A$2:$A$13,0))</x:f>
        <x:v>310</x:v>
      </x:c>
      <x:c r="N403" s="14" t="n">
        <x:f>INDEX(Products!$E$2:$E$13,MATCH(G403,Products!$A$2:$A$13,0))</x:f>
        <x:v>205</x:v>
      </x:c>
      <x:c r="O403" s="14" t="n">
        <x:f>K403*M403</x:f>
        <x:v>1550</x:v>
      </x:c>
      <x:c r="P403" s="14" t="n">
        <x:f>O403*(1-L403)</x:f>
        <x:v>1550</x:v>
      </x:c>
      <x:c r="Q403" s="14" t="n">
        <x:f>K403*N403</x:f>
        <x:v>1025</x:v>
      </x:c>
      <x:c r="R403" s="14" t="n">
        <x:f>P403-Q403</x:f>
        <x:v>525</x:v>
      </x:c>
      <x:c r="S403" s="16" t="n">
        <x:f>IFERROR(R403/P403,0)</x:f>
        <x:v>0.3387096774193548</x:v>
      </x:c>
    </x:row>
    <x:row r="404" ht="15" hidden="0" customHeight="1">
      <x:c r="A404" t="str">
        <x:f>Raw_Orders!A404</x:f>
        <x:v>O0403</x:v>
      </x:c>
      <x:c r="B404" s="10" t="n">
        <x:f>Raw_Orders!B404</x:f>
        <x:v>45878</x:v>
      </x:c>
      <x:c r="C404" t="str">
        <x:f>Raw_Orders!C404</x:f>
        <x:v>C018</x:v>
      </x:c>
      <x:c r="D404" t="str">
        <x:f>INDEX(Customers!$B$2:$B$81,MATCH(C404,Customers!$A$2:$A$81,0))</x:f>
        <x:v>Customer 18</x:v>
      </x:c>
      <x:c r="E404" t="str">
        <x:f>INDEX(Customers!$C$2:$C$81,MATCH(C404,Customers!$A$2:$A$81,0))</x:f>
        <x:v>Small Business</x:v>
      </x:c>
      <x:c r="F404" t="str">
        <x:f>INDEX(Customers!$D$2:$D$81,MATCH(C404,Customers!$A$2:$A$81,0))</x:f>
        <x:v>South</x:v>
      </x:c>
      <x:c r="G404" t="str">
        <x:f>Raw_Orders!D404</x:f>
        <x:v>P005</x:v>
      </x:c>
      <x:c r="H404" t="str">
        <x:f>INDEX(Products!$B$2:$B$13,MATCH(G404,Products!$A$2:$A$13,0))</x:f>
        <x:v>27in Monitor</x:v>
      </x:c>
      <x:c r="I404" t="str">
        <x:f>INDEX(Products!$C$2:$C$13,MATCH(G404,Products!$A$2:$A$13,0))</x:f>
        <x:v>Displays</x:v>
      </x:c>
      <x:c r="J404" t="str">
        <x:f>Raw_Orders!G404</x:f>
        <x:v>Retail</x:v>
      </x:c>
      <x:c r="K404" t="n">
        <x:f>Raw_Orders!E404</x:f>
        <x:v>6</x:v>
      </x:c>
      <x:c r="L404" s="12" t="n">
        <x:f>Raw_Orders!F404</x:f>
        <x:v>0</x:v>
      </x:c>
      <x:c r="M404" s="14" t="n">
        <x:f>INDEX(Products!$D$2:$D$13,MATCH(G404,Products!$A$2:$A$13,0))</x:f>
        <x:v>310</x:v>
      </x:c>
      <x:c r="N404" s="14" t="n">
        <x:f>INDEX(Products!$E$2:$E$13,MATCH(G404,Products!$A$2:$A$13,0))</x:f>
        <x:v>205</x:v>
      </x:c>
      <x:c r="O404" s="14" t="n">
        <x:f>K404*M404</x:f>
        <x:v>1860</x:v>
      </x:c>
      <x:c r="P404" s="14" t="n">
        <x:f>O404*(1-L404)</x:f>
        <x:v>1860</x:v>
      </x:c>
      <x:c r="Q404" s="14" t="n">
        <x:f>K404*N404</x:f>
        <x:v>1230</x:v>
      </x:c>
      <x:c r="R404" s="14" t="n">
        <x:f>P404-Q404</x:f>
        <x:v>630</x:v>
      </x:c>
      <x:c r="S404" s="16" t="n">
        <x:f>IFERROR(R404/P404,0)</x:f>
        <x:v>0.3387096774193548</x:v>
      </x:c>
    </x:row>
    <x:row r="405" ht="15" hidden="0" customHeight="1">
      <x:c r="A405" t="str">
        <x:f>Raw_Orders!A405</x:f>
        <x:v>O0404</x:v>
      </x:c>
      <x:c r="B405" s="10" t="n">
        <x:f>Raw_Orders!B405</x:f>
        <x:v>45845</x:v>
      </x:c>
      <x:c r="C405" t="str">
        <x:f>Raw_Orders!C405</x:f>
        <x:v>C006</x:v>
      </x:c>
      <x:c r="D405" t="str">
        <x:f>INDEX(Customers!$B$2:$B$81,MATCH(C405,Customers!$A$2:$A$81,0))</x:f>
        <x:v>Customer 06</x:v>
      </x:c>
      <x:c r="E405" t="str">
        <x:f>INDEX(Customers!$C$2:$C$81,MATCH(C405,Customers!$A$2:$A$81,0))</x:f>
        <x:v>Small Business</x:v>
      </x:c>
      <x:c r="F405" t="str">
        <x:f>INDEX(Customers!$D$2:$D$81,MATCH(C405,Customers!$A$2:$A$81,0))</x:f>
        <x:v>South</x:v>
      </x:c>
      <x:c r="G405" t="str">
        <x:f>Raw_Orders!D405</x:f>
        <x:v>P007</x:v>
      </x:c>
      <x:c r="H405" t="str">
        <x:f>INDEX(Products!$B$2:$B$13,MATCH(G405,Products!$A$2:$A$13,0))</x:f>
        <x:v>Ergonomic Chair</x:v>
      </x:c>
      <x:c r="I405" t="str">
        <x:f>INDEX(Products!$C$2:$C$13,MATCH(G405,Products!$A$2:$A$13,0))</x:f>
        <x:v>Office</x:v>
      </x:c>
      <x:c r="J405" t="str">
        <x:f>Raw_Orders!G405</x:f>
        <x:v>Partner</x:v>
      </x:c>
      <x:c r="K405" t="n">
        <x:f>Raw_Orders!E405</x:f>
        <x:v>1</x:v>
      </x:c>
      <x:c r="L405" s="12" t="n">
        <x:f>Raw_Orders!F405</x:f>
        <x:v>0.1</x:v>
      </x:c>
      <x:c r="M405" s="14" t="n">
        <x:f>INDEX(Products!$D$2:$D$13,MATCH(G405,Products!$A$2:$A$13,0))</x:f>
        <x:v>390</x:v>
      </x:c>
      <x:c r="N405" s="14" t="n">
        <x:f>INDEX(Products!$E$2:$E$13,MATCH(G405,Products!$A$2:$A$13,0))</x:f>
        <x:v>245</x:v>
      </x:c>
      <x:c r="O405" s="14" t="n">
        <x:f>K405*M405</x:f>
        <x:v>390</x:v>
      </x:c>
      <x:c r="P405" s="14" t="n">
        <x:f>O405*(1-L405)</x:f>
        <x:v>351</x:v>
      </x:c>
      <x:c r="Q405" s="14" t="n">
        <x:f>K405*N405</x:f>
        <x:v>245</x:v>
      </x:c>
      <x:c r="R405" s="14" t="n">
        <x:f>P405-Q405</x:f>
        <x:v>106</x:v>
      </x:c>
      <x:c r="S405" s="16" t="n">
        <x:f>IFERROR(R405/P405,0)</x:f>
        <x:v>0.301994301994302</x:v>
      </x:c>
    </x:row>
    <x:row r="406" ht="15" hidden="0" customHeight="1">
      <x:c r="A406" t="str">
        <x:f>Raw_Orders!A406</x:f>
        <x:v>O0405</x:v>
      </x:c>
      <x:c r="B406" s="10" t="n">
        <x:f>Raw_Orders!B406</x:f>
        <x:v>45757</x:v>
      </x:c>
      <x:c r="C406" t="str">
        <x:f>Raw_Orders!C406</x:f>
        <x:v>C047</x:v>
      </x:c>
      <x:c r="D406" t="str">
        <x:f>INDEX(Customers!$B$2:$B$81,MATCH(C406,Customers!$A$2:$A$81,0))</x:f>
        <x:v>Customer 47</x:v>
      </x:c>
      <x:c r="E406" t="str">
        <x:f>INDEX(Customers!$C$2:$C$81,MATCH(C406,Customers!$A$2:$A$81,0))</x:f>
        <x:v>Corporate</x:v>
      </x:c>
      <x:c r="F406" t="str">
        <x:f>INDEX(Customers!$D$2:$D$81,MATCH(C406,Customers!$A$2:$A$81,0))</x:f>
        <x:v>East</x:v>
      </x:c>
      <x:c r="G406" t="str">
        <x:f>Raw_Orders!D406</x:f>
        <x:v>P009</x:v>
      </x:c>
      <x:c r="H406" t="str">
        <x:f>INDEX(Products!$B$2:$B$13,MATCH(G406,Products!$A$2:$A$13,0))</x:f>
        <x:v>Desk Lamp</x:v>
      </x:c>
      <x:c r="I406" t="str">
        <x:f>INDEX(Products!$C$2:$C$13,MATCH(G406,Products!$A$2:$A$13,0))</x:f>
        <x:v>Office</x:v>
      </x:c>
      <x:c r="J406" t="str">
        <x:f>Raw_Orders!G406</x:f>
        <x:v>Retail</x:v>
      </x:c>
      <x:c r="K406" t="n">
        <x:f>Raw_Orders!E406</x:f>
        <x:v>3</x:v>
      </x:c>
      <x:c r="L406" s="12" t="n">
        <x:f>Raw_Orders!F406</x:f>
        <x:v>0</x:v>
      </x:c>
      <x:c r="M406" s="14" t="n">
        <x:f>INDEX(Products!$D$2:$D$13,MATCH(G406,Products!$A$2:$A$13,0))</x:f>
        <x:v>70</x:v>
      </x:c>
      <x:c r="N406" s="14" t="n">
        <x:f>INDEX(Products!$E$2:$E$13,MATCH(G406,Products!$A$2:$A$13,0))</x:f>
        <x:v>29</x:v>
      </x:c>
      <x:c r="O406" s="14" t="n">
        <x:f>K406*M406</x:f>
        <x:v>210</x:v>
      </x:c>
      <x:c r="P406" s="14" t="n">
        <x:f>O406*(1-L406)</x:f>
        <x:v>210</x:v>
      </x:c>
      <x:c r="Q406" s="14" t="n">
        <x:f>K406*N406</x:f>
        <x:v>87</x:v>
      </x:c>
      <x:c r="R406" s="14" t="n">
        <x:f>P406-Q406</x:f>
        <x:v>123</x:v>
      </x:c>
      <x:c r="S406" s="16" t="n">
        <x:f>IFERROR(R406/P406,0)</x:f>
        <x:v>0.5857142857142857</x:v>
      </x:c>
    </x:row>
    <x:row r="407" ht="15" hidden="0" customHeight="1">
      <x:c r="A407" t="str">
        <x:f>Raw_Orders!A407</x:f>
        <x:v>O0406</x:v>
      </x:c>
      <x:c r="B407" s="10" t="n">
        <x:f>Raw_Orders!B407</x:f>
        <x:v>45916</x:v>
      </x:c>
      <x:c r="C407" t="str">
        <x:f>Raw_Orders!C407</x:f>
        <x:v>C058</x:v>
      </x:c>
      <x:c r="D407" t="str">
        <x:f>INDEX(Customers!$B$2:$B$81,MATCH(C407,Customers!$A$2:$A$81,0))</x:f>
        <x:v>Customer 58</x:v>
      </x:c>
      <x:c r="E407" t="str">
        <x:f>INDEX(Customers!$C$2:$C$81,MATCH(C407,Customers!$A$2:$A$81,0))</x:f>
        <x:v>Consumer</x:v>
      </x:c>
      <x:c r="F407" t="str">
        <x:f>INDEX(Customers!$D$2:$D$81,MATCH(C407,Customers!$A$2:$A$81,0))</x:f>
        <x:v>South</x:v>
      </x:c>
      <x:c r="G407" t="str">
        <x:f>Raw_Orders!D407</x:f>
        <x:v>P009</x:v>
      </x:c>
      <x:c r="H407" t="str">
        <x:f>INDEX(Products!$B$2:$B$13,MATCH(G407,Products!$A$2:$A$13,0))</x:f>
        <x:v>Desk Lamp</x:v>
      </x:c>
      <x:c r="I407" t="str">
        <x:f>INDEX(Products!$C$2:$C$13,MATCH(G407,Products!$A$2:$A$13,0))</x:f>
        <x:v>Office</x:v>
      </x:c>
      <x:c r="J407" t="str">
        <x:f>Raw_Orders!G407</x:f>
        <x:v>Partner</x:v>
      </x:c>
      <x:c r="K407" t="n">
        <x:f>Raw_Orders!E407</x:f>
        <x:v>3</x:v>
      </x:c>
      <x:c r="L407" s="12" t="n">
        <x:f>Raw_Orders!F407</x:f>
        <x:v>0.1</x:v>
      </x:c>
      <x:c r="M407" s="14" t="n">
        <x:f>INDEX(Products!$D$2:$D$13,MATCH(G407,Products!$A$2:$A$13,0))</x:f>
        <x:v>70</x:v>
      </x:c>
      <x:c r="N407" s="14" t="n">
        <x:f>INDEX(Products!$E$2:$E$13,MATCH(G407,Products!$A$2:$A$13,0))</x:f>
        <x:v>29</x:v>
      </x:c>
      <x:c r="O407" s="14" t="n">
        <x:f>K407*M407</x:f>
        <x:v>210</x:v>
      </x:c>
      <x:c r="P407" s="14" t="n">
        <x:f>O407*(1-L407)</x:f>
        <x:v>189</x:v>
      </x:c>
      <x:c r="Q407" s="14" t="n">
        <x:f>K407*N407</x:f>
        <x:v>87</x:v>
      </x:c>
      <x:c r="R407" s="14" t="n">
        <x:f>P407-Q407</x:f>
        <x:v>102</x:v>
      </x:c>
      <x:c r="S407" s="16" t="n">
        <x:f>IFERROR(R407/P407,0)</x:f>
        <x:v>0.5396825396825397</x:v>
      </x:c>
    </x:row>
    <x:row r="408" ht="15" hidden="0" customHeight="1">
      <x:c r="A408" t="str">
        <x:f>Raw_Orders!A408</x:f>
        <x:v>O0407</x:v>
      </x:c>
      <x:c r="B408" s="10" t="n">
        <x:f>Raw_Orders!B408</x:f>
        <x:v>45970</x:v>
      </x:c>
      <x:c r="C408" t="str">
        <x:f>Raw_Orders!C408</x:f>
        <x:v>C016</x:v>
      </x:c>
      <x:c r="D408" t="str">
        <x:f>INDEX(Customers!$B$2:$B$81,MATCH(C408,Customers!$A$2:$A$81,0))</x:f>
        <x:v>Customer 16</x:v>
      </x:c>
      <x:c r="E408" t="str">
        <x:f>INDEX(Customers!$C$2:$C$81,MATCH(C408,Customers!$A$2:$A$81,0))</x:f>
        <x:v>Consumer</x:v>
      </x:c>
      <x:c r="F408" t="str">
        <x:f>INDEX(Customers!$D$2:$D$81,MATCH(C408,Customers!$A$2:$A$81,0))</x:f>
        <x:v>West</x:v>
      </x:c>
      <x:c r="G408" t="str">
        <x:f>Raw_Orders!D408</x:f>
        <x:v>P003</x:v>
      </x:c>
      <x:c r="H408" t="str">
        <x:f>INDEX(Products!$B$2:$B$13,MATCH(G408,Products!$A$2:$A$13,0))</x:f>
        <x:v>USB-C Hub</x:v>
      </x:c>
      <x:c r="I408" t="str">
        <x:f>INDEX(Products!$C$2:$C$13,MATCH(G408,Products!$A$2:$A$13,0))</x:f>
        <x:v>Accessories</x:v>
      </x:c>
      <x:c r="J408" t="str">
        <x:f>Raw_Orders!G408</x:f>
        <x:v>Retail</x:v>
      </x:c>
      <x:c r="K408" t="n">
        <x:f>Raw_Orders!E408</x:f>
        <x:v>1</x:v>
      </x:c>
      <x:c r="L408" s="12" t="n">
        <x:f>Raw_Orders!F408</x:f>
        <x:v>0.05</x:v>
      </x:c>
      <x:c r="M408" s="14" t="n">
        <x:f>INDEX(Products!$D$2:$D$13,MATCH(G408,Products!$A$2:$A$13,0))</x:f>
        <x:v>65</x:v>
      </x:c>
      <x:c r="N408" s="14" t="n">
        <x:f>INDEX(Products!$E$2:$E$13,MATCH(G408,Products!$A$2:$A$13,0))</x:f>
        <x:v>31</x:v>
      </x:c>
      <x:c r="O408" s="14" t="n">
        <x:f>K408*M408</x:f>
        <x:v>65</x:v>
      </x:c>
      <x:c r="P408" s="14" t="n">
        <x:f>O408*(1-L408)</x:f>
        <x:v>61.75</x:v>
      </x:c>
      <x:c r="Q408" s="14" t="n">
        <x:f>K408*N408</x:f>
        <x:v>31</x:v>
      </x:c>
      <x:c r="R408" s="14" t="n">
        <x:f>P408-Q408</x:f>
        <x:v>30.75</x:v>
      </x:c>
      <x:c r="S408" s="16" t="n">
        <x:f>IFERROR(R408/P408,0)</x:f>
        <x:v>0.4979757085020243</x:v>
      </x:c>
    </x:row>
    <x:row r="409" ht="15" hidden="0" customHeight="1">
      <x:c r="A409" t="str">
        <x:f>Raw_Orders!A409</x:f>
        <x:v>O0408</x:v>
      </x:c>
      <x:c r="B409" s="10" t="n">
        <x:f>Raw_Orders!B409</x:f>
        <x:v>45831</x:v>
      </x:c>
      <x:c r="C409" t="str">
        <x:f>Raw_Orders!C409</x:f>
        <x:v>C072</x:v>
      </x:c>
      <x:c r="D409" t="str">
        <x:f>INDEX(Customers!$B$2:$B$81,MATCH(C409,Customers!$A$2:$A$81,0))</x:f>
        <x:v>Customer 72</x:v>
      </x:c>
      <x:c r="E409" t="str">
        <x:f>INDEX(Customers!$C$2:$C$81,MATCH(C409,Customers!$A$2:$A$81,0))</x:f>
        <x:v>Small Business</x:v>
      </x:c>
      <x:c r="F409" t="str">
        <x:f>INDEX(Customers!$D$2:$D$81,MATCH(C409,Customers!$A$2:$A$81,0))</x:f>
        <x:v>West</x:v>
      </x:c>
      <x:c r="G409" t="str">
        <x:f>Raw_Orders!D409</x:f>
        <x:v>P006</x:v>
      </x:c>
      <x:c r="H409" t="str">
        <x:f>INDEX(Products!$B$2:$B$13,MATCH(G409,Products!$A$2:$A$13,0))</x:f>
        <x:v>Laptop Stand</x:v>
      </x:c>
      <x:c r="I409" t="str">
        <x:f>INDEX(Products!$C$2:$C$13,MATCH(G409,Products!$A$2:$A$13,0))</x:f>
        <x:v>Office</x:v>
      </x:c>
      <x:c r="J409" t="str">
        <x:f>Raw_Orders!G409</x:f>
        <x:v>Partner</x:v>
      </x:c>
      <x:c r="K409" t="n">
        <x:f>Raw_Orders!E409</x:f>
        <x:v>2</x:v>
      </x:c>
      <x:c r="L409" s="12" t="n">
        <x:f>Raw_Orders!F409</x:f>
        <x:v>0</x:v>
      </x:c>
      <x:c r="M409" s="14" t="n">
        <x:f>INDEX(Products!$D$2:$D$13,MATCH(G409,Products!$A$2:$A$13,0))</x:f>
        <x:v>55</x:v>
      </x:c>
      <x:c r="N409" s="14" t="n">
        <x:f>INDEX(Products!$E$2:$E$13,MATCH(G409,Products!$A$2:$A$13,0))</x:f>
        <x:v>24</x:v>
      </x:c>
      <x:c r="O409" s="14" t="n">
        <x:f>K409*M409</x:f>
        <x:v>110</x:v>
      </x:c>
      <x:c r="P409" s="14" t="n">
        <x:f>O409*(1-L409)</x:f>
        <x:v>110</x:v>
      </x:c>
      <x:c r="Q409" s="14" t="n">
        <x:f>K409*N409</x:f>
        <x:v>48</x:v>
      </x:c>
      <x:c r="R409" s="14" t="n">
        <x:f>P409-Q409</x:f>
        <x:v>62</x:v>
      </x:c>
      <x:c r="S409" s="16" t="n">
        <x:f>IFERROR(R409/P409,0)</x:f>
        <x:v>0.5636363636363636</x:v>
      </x:c>
    </x:row>
    <x:row r="410" ht="15" hidden="0" customHeight="1">
      <x:c r="A410" t="str">
        <x:f>Raw_Orders!A410</x:f>
        <x:v>O0409</x:v>
      </x:c>
      <x:c r="B410" s="10" t="n">
        <x:f>Raw_Orders!B410</x:f>
        <x:v>45918</x:v>
      </x:c>
      <x:c r="C410" t="str">
        <x:f>Raw_Orders!C410</x:f>
        <x:v>C052</x:v>
      </x:c>
      <x:c r="D410" t="str">
        <x:f>INDEX(Customers!$B$2:$B$81,MATCH(C410,Customers!$A$2:$A$81,0))</x:f>
        <x:v>Customer 52</x:v>
      </x:c>
      <x:c r="E410" t="str">
        <x:f>INDEX(Customers!$C$2:$C$81,MATCH(C410,Customers!$A$2:$A$81,0))</x:f>
        <x:v>Consumer</x:v>
      </x:c>
      <x:c r="F410" t="str">
        <x:f>INDEX(Customers!$D$2:$D$81,MATCH(C410,Customers!$A$2:$A$81,0))</x:f>
        <x:v>West</x:v>
      </x:c>
      <x:c r="G410" t="str">
        <x:f>Raw_Orders!D410</x:f>
        <x:v>P009</x:v>
      </x:c>
      <x:c r="H410" t="str">
        <x:f>INDEX(Products!$B$2:$B$13,MATCH(G410,Products!$A$2:$A$13,0))</x:f>
        <x:v>Desk Lamp</x:v>
      </x:c>
      <x:c r="I410" t="str">
        <x:f>INDEX(Products!$C$2:$C$13,MATCH(G410,Products!$A$2:$A$13,0))</x:f>
        <x:v>Office</x:v>
      </x:c>
      <x:c r="J410" t="str">
        <x:f>Raw_Orders!G410</x:f>
        <x:v>Online</x:v>
      </x:c>
      <x:c r="K410" t="n">
        <x:f>Raw_Orders!E410</x:f>
        <x:v>1</x:v>
      </x:c>
      <x:c r="L410" s="12" t="n">
        <x:f>Raw_Orders!F410</x:f>
        <x:v>0</x:v>
      </x:c>
      <x:c r="M410" s="14" t="n">
        <x:f>INDEX(Products!$D$2:$D$13,MATCH(G410,Products!$A$2:$A$13,0))</x:f>
        <x:v>70</x:v>
      </x:c>
      <x:c r="N410" s="14" t="n">
        <x:f>INDEX(Products!$E$2:$E$13,MATCH(G410,Products!$A$2:$A$13,0))</x:f>
        <x:v>29</x:v>
      </x:c>
      <x:c r="O410" s="14" t="n">
        <x:f>K410*M410</x:f>
        <x:v>70</x:v>
      </x:c>
      <x:c r="P410" s="14" t="n">
        <x:f>O410*(1-L410)</x:f>
        <x:v>70</x:v>
      </x:c>
      <x:c r="Q410" s="14" t="n">
        <x:f>K410*N410</x:f>
        <x:v>29</x:v>
      </x:c>
      <x:c r="R410" s="14" t="n">
        <x:f>P410-Q410</x:f>
        <x:v>41</x:v>
      </x:c>
      <x:c r="S410" s="16" t="n">
        <x:f>IFERROR(R410/P410,0)</x:f>
        <x:v>0.5857142857142857</x:v>
      </x:c>
    </x:row>
    <x:row r="411" ht="15" hidden="0" customHeight="1">
      <x:c r="A411" t="str">
        <x:f>Raw_Orders!A411</x:f>
        <x:v>O0410</x:v>
      </x:c>
      <x:c r="B411" s="10" t="n">
        <x:f>Raw_Orders!B411</x:f>
        <x:v>45728</x:v>
      </x:c>
      <x:c r="C411" t="str">
        <x:f>Raw_Orders!C411</x:f>
        <x:v>C043</x:v>
      </x:c>
      <x:c r="D411" t="str">
        <x:f>INDEX(Customers!$B$2:$B$81,MATCH(C411,Customers!$A$2:$A$81,0))</x:f>
        <x:v>Customer 43</x:v>
      </x:c>
      <x:c r="E411" t="str">
        <x:f>INDEX(Customers!$C$2:$C$81,MATCH(C411,Customers!$A$2:$A$81,0))</x:f>
        <x:v>Consumer</x:v>
      </x:c>
      <x:c r="F411" t="str">
        <x:f>INDEX(Customers!$D$2:$D$81,MATCH(C411,Customers!$A$2:$A$81,0))</x:f>
        <x:v>East</x:v>
      </x:c>
      <x:c r="G411" t="str">
        <x:f>Raw_Orders!D411</x:f>
        <x:v>P008</x:v>
      </x:c>
      <x:c r="H411" t="str">
        <x:f>INDEX(Products!$B$2:$B$13,MATCH(G411,Products!$A$2:$A$13,0))</x:f>
        <x:v>Webcam</x:v>
      </x:c>
      <x:c r="I411" t="str">
        <x:f>INDEX(Products!$C$2:$C$13,MATCH(G411,Products!$A$2:$A$13,0))</x:f>
        <x:v>Accessories</x:v>
      </x:c>
      <x:c r="J411" t="str">
        <x:f>Raw_Orders!G411</x:f>
        <x:v>Online</x:v>
      </x:c>
      <x:c r="K411" t="n">
        <x:f>Raw_Orders!E411</x:f>
        <x:v>5</x:v>
      </x:c>
      <x:c r="L411" s="12" t="n">
        <x:f>Raw_Orders!F411</x:f>
        <x:v>0.05</x:v>
      </x:c>
      <x:c r="M411" s="14" t="n">
        <x:f>INDEX(Products!$D$2:$D$13,MATCH(G411,Products!$A$2:$A$13,0))</x:f>
        <x:v>95</x:v>
      </x:c>
      <x:c r="N411" s="14" t="n">
        <x:f>INDEX(Products!$E$2:$E$13,MATCH(G411,Products!$A$2:$A$13,0))</x:f>
        <x:v>49</x:v>
      </x:c>
      <x:c r="O411" s="14" t="n">
        <x:f>K411*M411</x:f>
        <x:v>475</x:v>
      </x:c>
      <x:c r="P411" s="14" t="n">
        <x:f>O411*(1-L411)</x:f>
        <x:v>451.25</x:v>
      </x:c>
      <x:c r="Q411" s="14" t="n">
        <x:f>K411*N411</x:f>
        <x:v>245</x:v>
      </x:c>
      <x:c r="R411" s="14" t="n">
        <x:f>P411-Q411</x:f>
        <x:v>206.25</x:v>
      </x:c>
      <x:c r="S411" s="16" t="n">
        <x:f>IFERROR(R411/P411,0)</x:f>
        <x:v>0.45706371191135736</x:v>
      </x:c>
    </x:row>
    <x:row r="412" ht="15" hidden="0" customHeight="1">
      <x:c r="A412" t="str">
        <x:f>Raw_Orders!A412</x:f>
        <x:v>O0411</x:v>
      </x:c>
      <x:c r="B412" s="10" t="n">
        <x:f>Raw_Orders!B412</x:f>
        <x:v>45968</x:v>
      </x:c>
      <x:c r="C412" t="str">
        <x:f>Raw_Orders!C412</x:f>
        <x:v>C066</x:v>
      </x:c>
      <x:c r="D412" t="str">
        <x:f>INDEX(Customers!$B$2:$B$81,MATCH(C412,Customers!$A$2:$A$81,0))</x:f>
        <x:v>Customer 66</x:v>
      </x:c>
      <x:c r="E412" t="str">
        <x:f>INDEX(Customers!$C$2:$C$81,MATCH(C412,Customers!$A$2:$A$81,0))</x:f>
        <x:v>Small Business</x:v>
      </x:c>
      <x:c r="F412" t="str">
        <x:f>INDEX(Customers!$D$2:$D$81,MATCH(C412,Customers!$A$2:$A$81,0))</x:f>
        <x:v>South</x:v>
      </x:c>
      <x:c r="G412" t="str">
        <x:f>Raw_Orders!D412</x:f>
        <x:v>P003</x:v>
      </x:c>
      <x:c r="H412" t="str">
        <x:f>INDEX(Products!$B$2:$B$13,MATCH(G412,Products!$A$2:$A$13,0))</x:f>
        <x:v>USB-C Hub</x:v>
      </x:c>
      <x:c r="I412" t="str">
        <x:f>INDEX(Products!$C$2:$C$13,MATCH(G412,Products!$A$2:$A$13,0))</x:f>
        <x:v>Accessories</x:v>
      </x:c>
      <x:c r="J412" t="str">
        <x:f>Raw_Orders!G412</x:f>
        <x:v>Retail</x:v>
      </x:c>
      <x:c r="K412" t="n">
        <x:f>Raw_Orders!E412</x:f>
        <x:v>3</x:v>
      </x:c>
      <x:c r="L412" s="12" t="n">
        <x:f>Raw_Orders!F412</x:f>
        <x:v>0.1</x:v>
      </x:c>
      <x:c r="M412" s="14" t="n">
        <x:f>INDEX(Products!$D$2:$D$13,MATCH(G412,Products!$A$2:$A$13,0))</x:f>
        <x:v>65</x:v>
      </x:c>
      <x:c r="N412" s="14" t="n">
        <x:f>INDEX(Products!$E$2:$E$13,MATCH(G412,Products!$A$2:$A$13,0))</x:f>
        <x:v>31</x:v>
      </x:c>
      <x:c r="O412" s="14" t="n">
        <x:f>K412*M412</x:f>
        <x:v>195</x:v>
      </x:c>
      <x:c r="P412" s="14" t="n">
        <x:f>O412*(1-L412)</x:f>
        <x:v>175.5</x:v>
      </x:c>
      <x:c r="Q412" s="14" t="n">
        <x:f>K412*N412</x:f>
        <x:v>93</x:v>
      </x:c>
      <x:c r="R412" s="14" t="n">
        <x:f>P412-Q412</x:f>
        <x:v>82.5</x:v>
      </x:c>
      <x:c r="S412" s="16" t="n">
        <x:f>IFERROR(R412/P412,0)</x:f>
        <x:v>0.4700854700854701</x:v>
      </x:c>
    </x:row>
    <x:row r="413" ht="15" hidden="0" customHeight="1">
      <x:c r="A413" t="str">
        <x:f>Raw_Orders!A413</x:f>
        <x:v>O0412</x:v>
      </x:c>
      <x:c r="B413" s="10" t="n">
        <x:f>Raw_Orders!B413</x:f>
        <x:v>45741</x:v>
      </x:c>
      <x:c r="C413" t="str">
        <x:f>Raw_Orders!C413</x:f>
        <x:v>C051</x:v>
      </x:c>
      <x:c r="D413" t="str">
        <x:f>INDEX(Customers!$B$2:$B$81,MATCH(C413,Customers!$A$2:$A$81,0))</x:f>
        <x:v>Customer 51</x:v>
      </x:c>
      <x:c r="E413" t="str">
        <x:f>INDEX(Customers!$C$2:$C$81,MATCH(C413,Customers!$A$2:$A$81,0))</x:f>
        <x:v>Small Business</x:v>
      </x:c>
      <x:c r="F413" t="str">
        <x:f>INDEX(Customers!$D$2:$D$81,MATCH(C413,Customers!$A$2:$A$81,0))</x:f>
        <x:v>East</x:v>
      </x:c>
      <x:c r="G413" t="str">
        <x:f>Raw_Orders!D413</x:f>
        <x:v>P010</x:v>
      </x:c>
      <x:c r="H413" t="str">
        <x:f>INDEX(Products!$B$2:$B$13,MATCH(G413,Products!$A$2:$A$13,0))</x:f>
        <x:v>Portable SSD</x:v>
      </x:c>
      <x:c r="I413" t="str">
        <x:f>INDEX(Products!$C$2:$C$13,MATCH(G413,Products!$A$2:$A$13,0))</x:f>
        <x:v>Storage</x:v>
      </x:c>
      <x:c r="J413" t="str">
        <x:f>Raw_Orders!G413</x:f>
        <x:v>Partner</x:v>
      </x:c>
      <x:c r="K413" t="n">
        <x:f>Raw_Orders!E413</x:f>
        <x:v>6</x:v>
      </x:c>
      <x:c r="L413" s="12" t="n">
        <x:f>Raw_Orders!F413</x:f>
        <x:v>0</x:v>
      </x:c>
      <x:c r="M413" s="14" t="n">
        <x:f>INDEX(Products!$D$2:$D$13,MATCH(G413,Products!$A$2:$A$13,0))</x:f>
        <x:v>145</x:v>
      </x:c>
      <x:c r="N413" s="14" t="n">
        <x:f>INDEX(Products!$E$2:$E$13,MATCH(G413,Products!$A$2:$A$13,0))</x:f>
        <x:v>86</x:v>
      </x:c>
      <x:c r="O413" s="14" t="n">
        <x:f>K413*M413</x:f>
        <x:v>870</x:v>
      </x:c>
      <x:c r="P413" s="14" t="n">
        <x:f>O413*(1-L413)</x:f>
        <x:v>870</x:v>
      </x:c>
      <x:c r="Q413" s="14" t="n">
        <x:f>K413*N413</x:f>
        <x:v>516</x:v>
      </x:c>
      <x:c r="R413" s="14" t="n">
        <x:f>P413-Q413</x:f>
        <x:v>354</x:v>
      </x:c>
      <x:c r="S413" s="16" t="n">
        <x:f>IFERROR(R413/P413,0)</x:f>
        <x:v>0.4068965517241379</x:v>
      </x:c>
    </x:row>
    <x:row r="414" ht="15" hidden="0" customHeight="1">
      <x:c r="A414" t="str">
        <x:f>Raw_Orders!A414</x:f>
        <x:v>O0413</x:v>
      </x:c>
      <x:c r="B414" s="10" t="n">
        <x:f>Raw_Orders!B414</x:f>
        <x:v>45830</x:v>
      </x:c>
      <x:c r="C414" t="str">
        <x:f>Raw_Orders!C414</x:f>
        <x:v>C065</x:v>
      </x:c>
      <x:c r="D414" t="str">
        <x:f>INDEX(Customers!$B$2:$B$81,MATCH(C414,Customers!$A$2:$A$81,0))</x:f>
        <x:v>Customer 65</x:v>
      </x:c>
      <x:c r="E414" t="str">
        <x:f>INDEX(Customers!$C$2:$C$81,MATCH(C414,Customers!$A$2:$A$81,0))</x:f>
        <x:v>Corporate</x:v>
      </x:c>
      <x:c r="F414" t="str">
        <x:f>INDEX(Customers!$D$2:$D$81,MATCH(C414,Customers!$A$2:$A$81,0))</x:f>
        <x:v>North</x:v>
      </x:c>
      <x:c r="G414" t="str">
        <x:f>Raw_Orders!D414</x:f>
        <x:v>P009</x:v>
      </x:c>
      <x:c r="H414" t="str">
        <x:f>INDEX(Products!$B$2:$B$13,MATCH(G414,Products!$A$2:$A$13,0))</x:f>
        <x:v>Desk Lamp</x:v>
      </x:c>
      <x:c r="I414" t="str">
        <x:f>INDEX(Products!$C$2:$C$13,MATCH(G414,Products!$A$2:$A$13,0))</x:f>
        <x:v>Office</x:v>
      </x:c>
      <x:c r="J414" t="str">
        <x:f>Raw_Orders!G414</x:f>
        <x:v>Partner</x:v>
      </x:c>
      <x:c r="K414" t="n">
        <x:f>Raw_Orders!E414</x:f>
        <x:v>5</x:v>
      </x:c>
      <x:c r="L414" s="12" t="n">
        <x:f>Raw_Orders!F414</x:f>
        <x:v>0.05</x:v>
      </x:c>
      <x:c r="M414" s="14" t="n">
        <x:f>INDEX(Products!$D$2:$D$13,MATCH(G414,Products!$A$2:$A$13,0))</x:f>
        <x:v>70</x:v>
      </x:c>
      <x:c r="N414" s="14" t="n">
        <x:f>INDEX(Products!$E$2:$E$13,MATCH(G414,Products!$A$2:$A$13,0))</x:f>
        <x:v>29</x:v>
      </x:c>
      <x:c r="O414" s="14" t="n">
        <x:f>K414*M414</x:f>
        <x:v>350</x:v>
      </x:c>
      <x:c r="P414" s="14" t="n">
        <x:f>O414*(1-L414)</x:f>
        <x:v>332.5</x:v>
      </x:c>
      <x:c r="Q414" s="14" t="n">
        <x:f>K414*N414</x:f>
        <x:v>145</x:v>
      </x:c>
      <x:c r="R414" s="14" t="n">
        <x:f>P414-Q414</x:f>
        <x:v>187.5</x:v>
      </x:c>
      <x:c r="S414" s="16" t="n">
        <x:f>IFERROR(R414/P414,0)</x:f>
        <x:v>0.5639097744360902</x:v>
      </x:c>
    </x:row>
    <x:row r="415" ht="15" hidden="0" customHeight="1">
      <x:c r="A415" t="str">
        <x:f>Raw_Orders!A415</x:f>
        <x:v>O0414</x:v>
      </x:c>
      <x:c r="B415" s="10" t="n">
        <x:f>Raw_Orders!B415</x:f>
        <x:v>45946</x:v>
      </x:c>
      <x:c r="C415" t="str">
        <x:f>Raw_Orders!C415</x:f>
        <x:v>C039</x:v>
      </x:c>
      <x:c r="D415" t="str">
        <x:f>INDEX(Customers!$B$2:$B$81,MATCH(C415,Customers!$A$2:$A$81,0))</x:f>
        <x:v>Customer 39</x:v>
      </x:c>
      <x:c r="E415" t="str">
        <x:f>INDEX(Customers!$C$2:$C$81,MATCH(C415,Customers!$A$2:$A$81,0))</x:f>
        <x:v>Small Business</x:v>
      </x:c>
      <x:c r="F415" t="str">
        <x:f>INDEX(Customers!$D$2:$D$81,MATCH(C415,Customers!$A$2:$A$81,0))</x:f>
        <x:v>East</x:v>
      </x:c>
      <x:c r="G415" t="str">
        <x:f>Raw_Orders!D415</x:f>
        <x:v>P008</x:v>
      </x:c>
      <x:c r="H415" t="str">
        <x:f>INDEX(Products!$B$2:$B$13,MATCH(G415,Products!$A$2:$A$13,0))</x:f>
        <x:v>Webcam</x:v>
      </x:c>
      <x:c r="I415" t="str">
        <x:f>INDEX(Products!$C$2:$C$13,MATCH(G415,Products!$A$2:$A$13,0))</x:f>
        <x:v>Accessories</x:v>
      </x:c>
      <x:c r="J415" t="str">
        <x:f>Raw_Orders!G415</x:f>
        <x:v>Retail</x:v>
      </x:c>
      <x:c r="K415" t="n">
        <x:f>Raw_Orders!E415</x:f>
        <x:v>1</x:v>
      </x:c>
      <x:c r="L415" s="12" t="n">
        <x:f>Raw_Orders!F415</x:f>
        <x:v>0</x:v>
      </x:c>
      <x:c r="M415" s="14" t="n">
        <x:f>INDEX(Products!$D$2:$D$13,MATCH(G415,Products!$A$2:$A$13,0))</x:f>
        <x:v>95</x:v>
      </x:c>
      <x:c r="N415" s="14" t="n">
        <x:f>INDEX(Products!$E$2:$E$13,MATCH(G415,Products!$A$2:$A$13,0))</x:f>
        <x:v>49</x:v>
      </x:c>
      <x:c r="O415" s="14" t="n">
        <x:f>K415*M415</x:f>
        <x:v>95</x:v>
      </x:c>
      <x:c r="P415" s="14" t="n">
        <x:f>O415*(1-L415)</x:f>
        <x:v>95</x:v>
      </x:c>
      <x:c r="Q415" s="14" t="n">
        <x:f>K415*N415</x:f>
        <x:v>49</x:v>
      </x:c>
      <x:c r="R415" s="14" t="n">
        <x:f>P415-Q415</x:f>
        <x:v>46</x:v>
      </x:c>
      <x:c r="S415" s="16" t="n">
        <x:f>IFERROR(R415/P415,0)</x:f>
        <x:v>0.4842105263157895</x:v>
      </x:c>
    </x:row>
    <x:row r="416" ht="15" hidden="0" customHeight="1">
      <x:c r="A416" t="str">
        <x:f>Raw_Orders!A416</x:f>
        <x:v>O0415</x:v>
      </x:c>
      <x:c r="B416" s="10" t="n">
        <x:f>Raw_Orders!B416</x:f>
        <x:v>46002</x:v>
      </x:c>
      <x:c r="C416" t="str">
        <x:f>Raw_Orders!C416</x:f>
        <x:v>C015</x:v>
      </x:c>
      <x:c r="D416" t="str">
        <x:f>INDEX(Customers!$B$2:$B$81,MATCH(C416,Customers!$A$2:$A$81,0))</x:f>
        <x:v>Customer 15</x:v>
      </x:c>
      <x:c r="E416" t="str">
        <x:f>INDEX(Customers!$C$2:$C$81,MATCH(C416,Customers!$A$2:$A$81,0))</x:f>
        <x:v>Small Business</x:v>
      </x:c>
      <x:c r="F416" t="str">
        <x:f>INDEX(Customers!$D$2:$D$81,MATCH(C416,Customers!$A$2:$A$81,0))</x:f>
        <x:v>East</x:v>
      </x:c>
      <x:c r="G416" t="str">
        <x:f>Raw_Orders!D416</x:f>
        <x:v>P007</x:v>
      </x:c>
      <x:c r="H416" t="str">
        <x:f>INDEX(Products!$B$2:$B$13,MATCH(G416,Products!$A$2:$A$13,0))</x:f>
        <x:v>Ergonomic Chair</x:v>
      </x:c>
      <x:c r="I416" t="str">
        <x:f>INDEX(Products!$C$2:$C$13,MATCH(G416,Products!$A$2:$A$13,0))</x:f>
        <x:v>Office</x:v>
      </x:c>
      <x:c r="J416" t="str">
        <x:f>Raw_Orders!G416</x:f>
        <x:v>Partner</x:v>
      </x:c>
      <x:c r="K416" t="n">
        <x:f>Raw_Orders!E416</x:f>
        <x:v>5</x:v>
      </x:c>
      <x:c r="L416" s="12" t="n">
        <x:f>Raw_Orders!F416</x:f>
        <x:v>0</x:v>
      </x:c>
      <x:c r="M416" s="14" t="n">
        <x:f>INDEX(Products!$D$2:$D$13,MATCH(G416,Products!$A$2:$A$13,0))</x:f>
        <x:v>390</x:v>
      </x:c>
      <x:c r="N416" s="14" t="n">
        <x:f>INDEX(Products!$E$2:$E$13,MATCH(G416,Products!$A$2:$A$13,0))</x:f>
        <x:v>245</x:v>
      </x:c>
      <x:c r="O416" s="14" t="n">
        <x:f>K416*M416</x:f>
        <x:v>1950</x:v>
      </x:c>
      <x:c r="P416" s="14" t="n">
        <x:f>O416*(1-L416)</x:f>
        <x:v>1950</x:v>
      </x:c>
      <x:c r="Q416" s="14" t="n">
        <x:f>K416*N416</x:f>
        <x:v>1225</x:v>
      </x:c>
      <x:c r="R416" s="14" t="n">
        <x:f>P416-Q416</x:f>
        <x:v>725</x:v>
      </x:c>
      <x:c r="S416" s="16" t="n">
        <x:f>IFERROR(R416/P416,0)</x:f>
        <x:v>0.3717948717948718</x:v>
      </x:c>
    </x:row>
    <x:row r="417" ht="15" hidden="0" customHeight="1">
      <x:c r="A417" t="str">
        <x:f>Raw_Orders!A417</x:f>
        <x:v>O0416</x:v>
      </x:c>
      <x:c r="B417" s="10" t="n">
        <x:f>Raw_Orders!B417</x:f>
        <x:v>46010</x:v>
      </x:c>
      <x:c r="C417" t="str">
        <x:f>Raw_Orders!C417</x:f>
        <x:v>C004</x:v>
      </x:c>
      <x:c r="D417" t="str">
        <x:f>INDEX(Customers!$B$2:$B$81,MATCH(C417,Customers!$A$2:$A$81,0))</x:f>
        <x:v>Customer 04</x:v>
      </x:c>
      <x:c r="E417" t="str">
        <x:f>INDEX(Customers!$C$2:$C$81,MATCH(C417,Customers!$A$2:$A$81,0))</x:f>
        <x:v>Consumer</x:v>
      </x:c>
      <x:c r="F417" t="str">
        <x:f>INDEX(Customers!$D$2:$D$81,MATCH(C417,Customers!$A$2:$A$81,0))</x:f>
        <x:v>West</x:v>
      </x:c>
      <x:c r="G417" t="str">
        <x:f>Raw_Orders!D417</x:f>
        <x:v>P010</x:v>
      </x:c>
      <x:c r="H417" t="str">
        <x:f>INDEX(Products!$B$2:$B$13,MATCH(G417,Products!$A$2:$A$13,0))</x:f>
        <x:v>Portable SSD</x:v>
      </x:c>
      <x:c r="I417" t="str">
        <x:f>INDEX(Products!$C$2:$C$13,MATCH(G417,Products!$A$2:$A$13,0))</x:f>
        <x:v>Storage</x:v>
      </x:c>
      <x:c r="J417" t="str">
        <x:f>Raw_Orders!G417</x:f>
        <x:v>Partner</x:v>
      </x:c>
      <x:c r="K417" t="n">
        <x:f>Raw_Orders!E417</x:f>
        <x:v>4</x:v>
      </x:c>
      <x:c r="L417" s="12" t="n">
        <x:f>Raw_Orders!F417</x:f>
        <x:v>0</x:v>
      </x:c>
      <x:c r="M417" s="14" t="n">
        <x:f>INDEX(Products!$D$2:$D$13,MATCH(G417,Products!$A$2:$A$13,0))</x:f>
        <x:v>145</x:v>
      </x:c>
      <x:c r="N417" s="14" t="n">
        <x:f>INDEX(Products!$E$2:$E$13,MATCH(G417,Products!$A$2:$A$13,0))</x:f>
        <x:v>86</x:v>
      </x:c>
      <x:c r="O417" s="14" t="n">
        <x:f>K417*M417</x:f>
        <x:v>580</x:v>
      </x:c>
      <x:c r="P417" s="14" t="n">
        <x:f>O417*(1-L417)</x:f>
        <x:v>580</x:v>
      </x:c>
      <x:c r="Q417" s="14" t="n">
        <x:f>K417*N417</x:f>
        <x:v>344</x:v>
      </x:c>
      <x:c r="R417" s="14" t="n">
        <x:f>P417-Q417</x:f>
        <x:v>236</x:v>
      </x:c>
      <x:c r="S417" s="16" t="n">
        <x:f>IFERROR(R417/P417,0)</x:f>
        <x:v>0.4068965517241379</x:v>
      </x:c>
    </x:row>
    <x:row r="418" ht="15" hidden="0" customHeight="1">
      <x:c r="A418" t="str">
        <x:f>Raw_Orders!A418</x:f>
        <x:v>O0417</x:v>
      </x:c>
      <x:c r="B418" s="10" t="n">
        <x:f>Raw_Orders!B418</x:f>
        <x:v>45954</x:v>
      </x:c>
      <x:c r="C418" t="str">
        <x:f>Raw_Orders!C418</x:f>
        <x:v>C074</x:v>
      </x:c>
      <x:c r="D418" t="str">
        <x:f>INDEX(Customers!$B$2:$B$81,MATCH(C418,Customers!$A$2:$A$81,0))</x:f>
        <x:v>Customer 74</x:v>
      </x:c>
      <x:c r="E418" t="str">
        <x:f>INDEX(Customers!$C$2:$C$81,MATCH(C418,Customers!$A$2:$A$81,0))</x:f>
        <x:v>Corporate</x:v>
      </x:c>
      <x:c r="F418" t="str">
        <x:f>INDEX(Customers!$D$2:$D$81,MATCH(C418,Customers!$A$2:$A$81,0))</x:f>
        <x:v>South</x:v>
      </x:c>
      <x:c r="G418" t="str">
        <x:f>Raw_Orders!D418</x:f>
        <x:v>P004</x:v>
      </x:c>
      <x:c r="H418" t="str">
        <x:f>INDEX(Products!$B$2:$B$13,MATCH(G418,Products!$A$2:$A$13,0))</x:f>
        <x:v>24in Monitor</x:v>
      </x:c>
      <x:c r="I418" t="str">
        <x:f>INDEX(Products!$C$2:$C$13,MATCH(G418,Products!$A$2:$A$13,0))</x:f>
        <x:v>Displays</x:v>
      </x:c>
      <x:c r="J418" t="str">
        <x:f>Raw_Orders!G418</x:f>
        <x:v>Partner</x:v>
      </x:c>
      <x:c r="K418" t="n">
        <x:f>Raw_Orders!E418</x:f>
        <x:v>6</x:v>
      </x:c>
      <x:c r="L418" s="12" t="n">
        <x:f>Raw_Orders!F418</x:f>
        <x:v>0</x:v>
      </x:c>
      <x:c r="M418" s="14" t="n">
        <x:f>INDEX(Products!$D$2:$D$13,MATCH(G418,Products!$A$2:$A$13,0))</x:f>
        <x:v>220</x:v>
      </x:c>
      <x:c r="N418" s="14" t="n">
        <x:f>INDEX(Products!$E$2:$E$13,MATCH(G418,Products!$A$2:$A$13,0))</x:f>
        <x:v>142</x:v>
      </x:c>
      <x:c r="O418" s="14" t="n">
        <x:f>K418*M418</x:f>
        <x:v>1320</x:v>
      </x:c>
      <x:c r="P418" s="14" t="n">
        <x:f>O418*(1-L418)</x:f>
        <x:v>1320</x:v>
      </x:c>
      <x:c r="Q418" s="14" t="n">
        <x:f>K418*N418</x:f>
        <x:v>852</x:v>
      </x:c>
      <x:c r="R418" s="14" t="n">
        <x:f>P418-Q418</x:f>
        <x:v>468</x:v>
      </x:c>
      <x:c r="S418" s="16" t="n">
        <x:f>IFERROR(R418/P418,0)</x:f>
        <x:v>0.35454545454545455</x:v>
      </x:c>
    </x:row>
    <x:row r="419" ht="15" hidden="0" customHeight="1">
      <x:c r="A419" t="str">
        <x:f>Raw_Orders!A419</x:f>
        <x:v>O0418</x:v>
      </x:c>
      <x:c r="B419" s="10" t="n">
        <x:f>Raw_Orders!B419</x:f>
        <x:v>45903</x:v>
      </x:c>
      <x:c r="C419" t="str">
        <x:f>Raw_Orders!C419</x:f>
        <x:v>C022</x:v>
      </x:c>
      <x:c r="D419" t="str">
        <x:f>INDEX(Customers!$B$2:$B$81,MATCH(C419,Customers!$A$2:$A$81,0))</x:f>
        <x:v>Customer 22</x:v>
      </x:c>
      <x:c r="E419" t="str">
        <x:f>INDEX(Customers!$C$2:$C$81,MATCH(C419,Customers!$A$2:$A$81,0))</x:f>
        <x:v>Consumer</x:v>
      </x:c>
      <x:c r="F419" t="str">
        <x:f>INDEX(Customers!$D$2:$D$81,MATCH(C419,Customers!$A$2:$A$81,0))</x:f>
        <x:v>South</x:v>
      </x:c>
      <x:c r="G419" t="str">
        <x:f>Raw_Orders!D419</x:f>
        <x:v>P009</x:v>
      </x:c>
      <x:c r="H419" t="str">
        <x:f>INDEX(Products!$B$2:$B$13,MATCH(G419,Products!$A$2:$A$13,0))</x:f>
        <x:v>Desk Lamp</x:v>
      </x:c>
      <x:c r="I419" t="str">
        <x:f>INDEX(Products!$C$2:$C$13,MATCH(G419,Products!$A$2:$A$13,0))</x:f>
        <x:v>Office</x:v>
      </x:c>
      <x:c r="J419" t="str">
        <x:f>Raw_Orders!G419</x:f>
        <x:v>Partner</x:v>
      </x:c>
      <x:c r="K419" t="n">
        <x:f>Raw_Orders!E419</x:f>
        <x:v>6</x:v>
      </x:c>
      <x:c r="L419" s="12" t="n">
        <x:f>Raw_Orders!F419</x:f>
        <x:v>0.15</x:v>
      </x:c>
      <x:c r="M419" s="14" t="n">
        <x:f>INDEX(Products!$D$2:$D$13,MATCH(G419,Products!$A$2:$A$13,0))</x:f>
        <x:v>70</x:v>
      </x:c>
      <x:c r="N419" s="14" t="n">
        <x:f>INDEX(Products!$E$2:$E$13,MATCH(G419,Products!$A$2:$A$13,0))</x:f>
        <x:v>29</x:v>
      </x:c>
      <x:c r="O419" s="14" t="n">
        <x:f>K419*M419</x:f>
        <x:v>420</x:v>
      </x:c>
      <x:c r="P419" s="14" t="n">
        <x:f>O419*(1-L419)</x:f>
        <x:v>357</x:v>
      </x:c>
      <x:c r="Q419" s="14" t="n">
        <x:f>K419*N419</x:f>
        <x:v>174</x:v>
      </x:c>
      <x:c r="R419" s="14" t="n">
        <x:f>P419-Q419</x:f>
        <x:v>183</x:v>
      </x:c>
      <x:c r="S419" s="16" t="n">
        <x:f>IFERROR(R419/P419,0)</x:f>
        <x:v>0.5126050420168067</x:v>
      </x:c>
    </x:row>
    <x:row r="420" ht="15" hidden="0" customHeight="1">
      <x:c r="A420" t="str">
        <x:f>Raw_Orders!A420</x:f>
        <x:v>O0419</x:v>
      </x:c>
      <x:c r="B420" s="10" t="n">
        <x:f>Raw_Orders!B420</x:f>
        <x:v>45852</x:v>
      </x:c>
      <x:c r="C420" t="str">
        <x:f>Raw_Orders!C420</x:f>
        <x:v>C019</x:v>
      </x:c>
      <x:c r="D420" t="str">
        <x:f>INDEX(Customers!$B$2:$B$81,MATCH(C420,Customers!$A$2:$A$81,0))</x:f>
        <x:v>Customer 19</x:v>
      </x:c>
      <x:c r="E420" t="str">
        <x:f>INDEX(Customers!$C$2:$C$81,MATCH(C420,Customers!$A$2:$A$81,0))</x:f>
        <x:v>Consumer</x:v>
      </x:c>
      <x:c r="F420" t="str">
        <x:f>INDEX(Customers!$D$2:$D$81,MATCH(C420,Customers!$A$2:$A$81,0))</x:f>
        <x:v>East</x:v>
      </x:c>
      <x:c r="G420" t="str">
        <x:f>Raw_Orders!D420</x:f>
        <x:v>P011</x:v>
      </x:c>
      <x:c r="H420" t="str">
        <x:f>INDEX(Products!$B$2:$B$13,MATCH(G420,Products!$A$2:$A$13,0))</x:f>
        <x:v>External HDD</x:v>
      </x:c>
      <x:c r="I420" t="str">
        <x:f>INDEX(Products!$C$2:$C$13,MATCH(G420,Products!$A$2:$A$13,0))</x:f>
        <x:v>Storage</x:v>
      </x:c>
      <x:c r="J420" t="str">
        <x:f>Raw_Orders!G420</x:f>
        <x:v>Partner</x:v>
      </x:c>
      <x:c r="K420" t="n">
        <x:f>Raw_Orders!E420</x:f>
        <x:v>2</x:v>
      </x:c>
      <x:c r="L420" s="12" t="n">
        <x:f>Raw_Orders!F420</x:f>
        <x:v>0</x:v>
      </x:c>
      <x:c r="M420" s="14" t="n">
        <x:f>INDEX(Products!$D$2:$D$13,MATCH(G420,Products!$A$2:$A$13,0))</x:f>
        <x:v>120</x:v>
      </x:c>
      <x:c r="N420" s="14" t="n">
        <x:f>INDEX(Products!$E$2:$E$13,MATCH(G420,Products!$A$2:$A$13,0))</x:f>
        <x:v>72</x:v>
      </x:c>
      <x:c r="O420" s="14" t="n">
        <x:f>K420*M420</x:f>
        <x:v>240</x:v>
      </x:c>
      <x:c r="P420" s="14" t="n">
        <x:f>O420*(1-L420)</x:f>
        <x:v>240</x:v>
      </x:c>
      <x:c r="Q420" s="14" t="n">
        <x:f>K420*N420</x:f>
        <x:v>144</x:v>
      </x:c>
      <x:c r="R420" s="14" t="n">
        <x:f>P420-Q420</x:f>
        <x:v>96</x:v>
      </x:c>
      <x:c r="S420" s="16" t="n">
        <x:f>IFERROR(R420/P420,0)</x:f>
        <x:v>0.4</x:v>
      </x:c>
    </x:row>
    <x:row r="421" ht="15" hidden="0" customHeight="1">
      <x:c r="A421" t="str">
        <x:f>Raw_Orders!A421</x:f>
        <x:v>O0420</x:v>
      </x:c>
      <x:c r="B421" s="10" t="n">
        <x:f>Raw_Orders!B421</x:f>
        <x:v>46016</x:v>
      </x:c>
      <x:c r="C421" t="str">
        <x:f>Raw_Orders!C421</x:f>
        <x:v>C015</x:v>
      </x:c>
      <x:c r="D421" t="str">
        <x:f>INDEX(Customers!$B$2:$B$81,MATCH(C421,Customers!$A$2:$A$81,0))</x:f>
        <x:v>Customer 15</x:v>
      </x:c>
      <x:c r="E421" t="str">
        <x:f>INDEX(Customers!$C$2:$C$81,MATCH(C421,Customers!$A$2:$A$81,0))</x:f>
        <x:v>Small Business</x:v>
      </x:c>
      <x:c r="F421" t="str">
        <x:f>INDEX(Customers!$D$2:$D$81,MATCH(C421,Customers!$A$2:$A$81,0))</x:f>
        <x:v>East</x:v>
      </x:c>
      <x:c r="G421" t="str">
        <x:f>Raw_Orders!D421</x:f>
        <x:v>P004</x:v>
      </x:c>
      <x:c r="H421" t="str">
        <x:f>INDEX(Products!$B$2:$B$13,MATCH(G421,Products!$A$2:$A$13,0))</x:f>
        <x:v>24in Monitor</x:v>
      </x:c>
      <x:c r="I421" t="str">
        <x:f>INDEX(Products!$C$2:$C$13,MATCH(G421,Products!$A$2:$A$13,0))</x:f>
        <x:v>Displays</x:v>
      </x:c>
      <x:c r="J421" t="str">
        <x:f>Raw_Orders!G421</x:f>
        <x:v>Retail</x:v>
      </x:c>
      <x:c r="K421" t="n">
        <x:f>Raw_Orders!E421</x:f>
        <x:v>1</x:v>
      </x:c>
      <x:c r="L421" s="12" t="n">
        <x:f>Raw_Orders!F421</x:f>
        <x:v>0.05</x:v>
      </x:c>
      <x:c r="M421" s="14" t="n">
        <x:f>INDEX(Products!$D$2:$D$13,MATCH(G421,Products!$A$2:$A$13,0))</x:f>
        <x:v>220</x:v>
      </x:c>
      <x:c r="N421" s="14" t="n">
        <x:f>INDEX(Products!$E$2:$E$13,MATCH(G421,Products!$A$2:$A$13,0))</x:f>
        <x:v>142</x:v>
      </x:c>
      <x:c r="O421" s="14" t="n">
        <x:f>K421*M421</x:f>
        <x:v>220</x:v>
      </x:c>
      <x:c r="P421" s="14" t="n">
        <x:f>O421*(1-L421)</x:f>
        <x:v>209</x:v>
      </x:c>
      <x:c r="Q421" s="14" t="n">
        <x:f>K421*N421</x:f>
        <x:v>142</x:v>
      </x:c>
      <x:c r="R421" s="14" t="n">
        <x:f>P421-Q421</x:f>
        <x:v>67</x:v>
      </x:c>
      <x:c r="S421" s="16" t="n">
        <x:f>IFERROR(R421/P421,0)</x:f>
        <x:v>0.32057416267942584</x:v>
      </x:c>
    </x:row>
    <x:row r="422" ht="15" hidden="0" customHeight="1">
      <x:c r="A422" t="str">
        <x:f>Raw_Orders!A422</x:f>
        <x:v>O0421</x:v>
      </x:c>
      <x:c r="B422" s="10" t="n">
        <x:f>Raw_Orders!B422</x:f>
        <x:v>45872</x:v>
      </x:c>
      <x:c r="C422" t="str">
        <x:f>Raw_Orders!C422</x:f>
        <x:v>C020</x:v>
      </x:c>
      <x:c r="D422" t="str">
        <x:f>INDEX(Customers!$B$2:$B$81,MATCH(C422,Customers!$A$2:$A$81,0))</x:f>
        <x:v>Customer 20</x:v>
      </x:c>
      <x:c r="E422" t="str">
        <x:f>INDEX(Customers!$C$2:$C$81,MATCH(C422,Customers!$A$2:$A$81,0))</x:f>
        <x:v>Corporate</x:v>
      </x:c>
      <x:c r="F422" t="str">
        <x:f>INDEX(Customers!$D$2:$D$81,MATCH(C422,Customers!$A$2:$A$81,0))</x:f>
        <x:v>West</x:v>
      </x:c>
      <x:c r="G422" t="str">
        <x:f>Raw_Orders!D422</x:f>
        <x:v>P007</x:v>
      </x:c>
      <x:c r="H422" t="str">
        <x:f>INDEX(Products!$B$2:$B$13,MATCH(G422,Products!$A$2:$A$13,0))</x:f>
        <x:v>Ergonomic Chair</x:v>
      </x:c>
      <x:c r="I422" t="str">
        <x:f>INDEX(Products!$C$2:$C$13,MATCH(G422,Products!$A$2:$A$13,0))</x:f>
        <x:v>Office</x:v>
      </x:c>
      <x:c r="J422" t="str">
        <x:f>Raw_Orders!G422</x:f>
        <x:v>Retail</x:v>
      </x:c>
      <x:c r="K422" t="n">
        <x:f>Raw_Orders!E422</x:f>
        <x:v>6</x:v>
      </x:c>
      <x:c r="L422" s="12" t="n">
        <x:f>Raw_Orders!F422</x:f>
        <x:v>0</x:v>
      </x:c>
      <x:c r="M422" s="14" t="n">
        <x:f>INDEX(Products!$D$2:$D$13,MATCH(G422,Products!$A$2:$A$13,0))</x:f>
        <x:v>390</x:v>
      </x:c>
      <x:c r="N422" s="14" t="n">
        <x:f>INDEX(Products!$E$2:$E$13,MATCH(G422,Products!$A$2:$A$13,0))</x:f>
        <x:v>245</x:v>
      </x:c>
      <x:c r="O422" s="14" t="n">
        <x:f>K422*M422</x:f>
        <x:v>2340</x:v>
      </x:c>
      <x:c r="P422" s="14" t="n">
        <x:f>O422*(1-L422)</x:f>
        <x:v>2340</x:v>
      </x:c>
      <x:c r="Q422" s="14" t="n">
        <x:f>K422*N422</x:f>
        <x:v>1470</x:v>
      </x:c>
      <x:c r="R422" s="14" t="n">
        <x:f>P422-Q422</x:f>
        <x:v>870</x:v>
      </x:c>
      <x:c r="S422" s="16" t="n">
        <x:f>IFERROR(R422/P422,0)</x:f>
        <x:v>0.3717948717948718</x:v>
      </x:c>
    </x:row>
    <x:row r="423" ht="15" hidden="0" customHeight="1">
      <x:c r="A423" t="str">
        <x:f>Raw_Orders!A423</x:f>
        <x:v>O0422</x:v>
      </x:c>
      <x:c r="B423" s="10" t="n">
        <x:f>Raw_Orders!B423</x:f>
        <x:v>45914</x:v>
      </x:c>
      <x:c r="C423" t="str">
        <x:f>Raw_Orders!C423</x:f>
        <x:v>C079</x:v>
      </x:c>
      <x:c r="D423" t="str">
        <x:f>INDEX(Customers!$B$2:$B$81,MATCH(C423,Customers!$A$2:$A$81,0))</x:f>
        <x:v>Customer 79</x:v>
      </x:c>
      <x:c r="E423" t="str">
        <x:f>INDEX(Customers!$C$2:$C$81,MATCH(C423,Customers!$A$2:$A$81,0))</x:f>
        <x:v>Consumer</x:v>
      </x:c>
      <x:c r="F423" t="str">
        <x:f>INDEX(Customers!$D$2:$D$81,MATCH(C423,Customers!$A$2:$A$81,0))</x:f>
        <x:v>East</x:v>
      </x:c>
      <x:c r="G423" t="str">
        <x:f>Raw_Orders!D423</x:f>
        <x:v>P008</x:v>
      </x:c>
      <x:c r="H423" t="str">
        <x:f>INDEX(Products!$B$2:$B$13,MATCH(G423,Products!$A$2:$A$13,0))</x:f>
        <x:v>Webcam</x:v>
      </x:c>
      <x:c r="I423" t="str">
        <x:f>INDEX(Products!$C$2:$C$13,MATCH(G423,Products!$A$2:$A$13,0))</x:f>
        <x:v>Accessories</x:v>
      </x:c>
      <x:c r="J423" t="str">
        <x:f>Raw_Orders!G423</x:f>
        <x:v>Online</x:v>
      </x:c>
      <x:c r="K423" t="n">
        <x:f>Raw_Orders!E423</x:f>
        <x:v>6</x:v>
      </x:c>
      <x:c r="L423" s="12" t="n">
        <x:f>Raw_Orders!F423</x:f>
        <x:v>0.15</x:v>
      </x:c>
      <x:c r="M423" s="14" t="n">
        <x:f>INDEX(Products!$D$2:$D$13,MATCH(G423,Products!$A$2:$A$13,0))</x:f>
        <x:v>95</x:v>
      </x:c>
      <x:c r="N423" s="14" t="n">
        <x:f>INDEX(Products!$E$2:$E$13,MATCH(G423,Products!$A$2:$A$13,0))</x:f>
        <x:v>49</x:v>
      </x:c>
      <x:c r="O423" s="14" t="n">
        <x:f>K423*M423</x:f>
        <x:v>570</x:v>
      </x:c>
      <x:c r="P423" s="14" t="n">
        <x:f>O423*(1-L423)</x:f>
        <x:v>484.5</x:v>
      </x:c>
      <x:c r="Q423" s="14" t="n">
        <x:f>K423*N423</x:f>
        <x:v>294</x:v>
      </x:c>
      <x:c r="R423" s="14" t="n">
        <x:f>P423-Q423</x:f>
        <x:v>190.5</x:v>
      </x:c>
      <x:c r="S423" s="16" t="n">
        <x:f>IFERROR(R423/P423,0)</x:f>
        <x:v>0.3931888544891641</x:v>
      </x:c>
    </x:row>
    <x:row r="424" ht="15" hidden="0" customHeight="1">
      <x:c r="A424" t="str">
        <x:f>Raw_Orders!A424</x:f>
        <x:v>O0423</x:v>
      </x:c>
      <x:c r="B424" s="10" t="n">
        <x:f>Raw_Orders!B424</x:f>
        <x:v>46019</x:v>
      </x:c>
      <x:c r="C424" t="str">
        <x:f>Raw_Orders!C424</x:f>
        <x:v>C018</x:v>
      </x:c>
      <x:c r="D424" t="str">
        <x:f>INDEX(Customers!$B$2:$B$81,MATCH(C424,Customers!$A$2:$A$81,0))</x:f>
        <x:v>Customer 18</x:v>
      </x:c>
      <x:c r="E424" t="str">
        <x:f>INDEX(Customers!$C$2:$C$81,MATCH(C424,Customers!$A$2:$A$81,0))</x:f>
        <x:v>Small Business</x:v>
      </x:c>
      <x:c r="F424" t="str">
        <x:f>INDEX(Customers!$D$2:$D$81,MATCH(C424,Customers!$A$2:$A$81,0))</x:f>
        <x:v>South</x:v>
      </x:c>
      <x:c r="G424" t="str">
        <x:f>Raw_Orders!D424</x:f>
        <x:v>P009</x:v>
      </x:c>
      <x:c r="H424" t="str">
        <x:f>INDEX(Products!$B$2:$B$13,MATCH(G424,Products!$A$2:$A$13,0))</x:f>
        <x:v>Desk Lamp</x:v>
      </x:c>
      <x:c r="I424" t="str">
        <x:f>INDEX(Products!$C$2:$C$13,MATCH(G424,Products!$A$2:$A$13,0))</x:f>
        <x:v>Office</x:v>
      </x:c>
      <x:c r="J424" t="str">
        <x:f>Raw_Orders!G424</x:f>
        <x:v>Retail</x:v>
      </x:c>
      <x:c r="K424" t="n">
        <x:f>Raw_Orders!E424</x:f>
        <x:v>2</x:v>
      </x:c>
      <x:c r="L424" s="12" t="n">
        <x:f>Raw_Orders!F424</x:f>
        <x:v>0.1</x:v>
      </x:c>
      <x:c r="M424" s="14" t="n">
        <x:f>INDEX(Products!$D$2:$D$13,MATCH(G424,Products!$A$2:$A$13,0))</x:f>
        <x:v>70</x:v>
      </x:c>
      <x:c r="N424" s="14" t="n">
        <x:f>INDEX(Products!$E$2:$E$13,MATCH(G424,Products!$A$2:$A$13,0))</x:f>
        <x:v>29</x:v>
      </x:c>
      <x:c r="O424" s="14" t="n">
        <x:f>K424*M424</x:f>
        <x:v>140</x:v>
      </x:c>
      <x:c r="P424" s="14" t="n">
        <x:f>O424*(1-L424)</x:f>
        <x:v>126</x:v>
      </x:c>
      <x:c r="Q424" s="14" t="n">
        <x:f>K424*N424</x:f>
        <x:v>58</x:v>
      </x:c>
      <x:c r="R424" s="14" t="n">
        <x:f>P424-Q424</x:f>
        <x:v>68</x:v>
      </x:c>
      <x:c r="S424" s="16" t="n">
        <x:f>IFERROR(R424/P424,0)</x:f>
        <x:v>0.5396825396825397</x:v>
      </x:c>
    </x:row>
    <x:row r="425" ht="15" hidden="0" customHeight="1">
      <x:c r="A425" t="str">
        <x:f>Raw_Orders!A425</x:f>
        <x:v>O0424</x:v>
      </x:c>
      <x:c r="B425" s="10" t="n">
        <x:f>Raw_Orders!B425</x:f>
        <x:v>45997</x:v>
      </x:c>
      <x:c r="C425" t="str">
        <x:f>Raw_Orders!C425</x:f>
        <x:v>C062</x:v>
      </x:c>
      <x:c r="D425" t="str">
        <x:f>INDEX(Customers!$B$2:$B$81,MATCH(C425,Customers!$A$2:$A$81,0))</x:f>
        <x:v>Customer 62</x:v>
      </x:c>
      <x:c r="E425" t="str">
        <x:f>INDEX(Customers!$C$2:$C$81,MATCH(C425,Customers!$A$2:$A$81,0))</x:f>
        <x:v>Corporate</x:v>
      </x:c>
      <x:c r="F425" t="str">
        <x:f>INDEX(Customers!$D$2:$D$81,MATCH(C425,Customers!$A$2:$A$81,0))</x:f>
        <x:v>South</x:v>
      </x:c>
      <x:c r="G425" t="str">
        <x:f>Raw_Orders!D425</x:f>
        <x:v>P009</x:v>
      </x:c>
      <x:c r="H425" t="str">
        <x:f>INDEX(Products!$B$2:$B$13,MATCH(G425,Products!$A$2:$A$13,0))</x:f>
        <x:v>Desk Lamp</x:v>
      </x:c>
      <x:c r="I425" t="str">
        <x:f>INDEX(Products!$C$2:$C$13,MATCH(G425,Products!$A$2:$A$13,0))</x:f>
        <x:v>Office</x:v>
      </x:c>
      <x:c r="J425" t="str">
        <x:f>Raw_Orders!G425</x:f>
        <x:v>Online</x:v>
      </x:c>
      <x:c r="K425" t="n">
        <x:f>Raw_Orders!E425</x:f>
        <x:v>4</x:v>
      </x:c>
      <x:c r="L425" s="12" t="n">
        <x:f>Raw_Orders!F425</x:f>
        <x:v>0</x:v>
      </x:c>
      <x:c r="M425" s="14" t="n">
        <x:f>INDEX(Products!$D$2:$D$13,MATCH(G425,Products!$A$2:$A$13,0))</x:f>
        <x:v>70</x:v>
      </x:c>
      <x:c r="N425" s="14" t="n">
        <x:f>INDEX(Products!$E$2:$E$13,MATCH(G425,Products!$A$2:$A$13,0))</x:f>
        <x:v>29</x:v>
      </x:c>
      <x:c r="O425" s="14" t="n">
        <x:f>K425*M425</x:f>
        <x:v>280</x:v>
      </x:c>
      <x:c r="P425" s="14" t="n">
        <x:f>O425*(1-L425)</x:f>
        <x:v>280</x:v>
      </x:c>
      <x:c r="Q425" s="14" t="n">
        <x:f>K425*N425</x:f>
        <x:v>116</x:v>
      </x:c>
      <x:c r="R425" s="14" t="n">
        <x:f>P425-Q425</x:f>
        <x:v>164</x:v>
      </x:c>
      <x:c r="S425" s="16" t="n">
        <x:f>IFERROR(R425/P425,0)</x:f>
        <x:v>0.5857142857142857</x:v>
      </x:c>
    </x:row>
    <x:row r="426" ht="15" hidden="0" customHeight="1">
      <x:c r="A426" t="str">
        <x:f>Raw_Orders!A426</x:f>
        <x:v>O0425</x:v>
      </x:c>
      <x:c r="B426" s="10" t="n">
        <x:f>Raw_Orders!B426</x:f>
        <x:v>45893</x:v>
      </x:c>
      <x:c r="C426" t="str">
        <x:f>Raw_Orders!C426</x:f>
        <x:v>C069</x:v>
      </x:c>
      <x:c r="D426" t="str">
        <x:f>INDEX(Customers!$B$2:$B$81,MATCH(C426,Customers!$A$2:$A$81,0))</x:f>
        <x:v>Customer 69</x:v>
      </x:c>
      <x:c r="E426" t="str">
        <x:f>INDEX(Customers!$C$2:$C$81,MATCH(C426,Customers!$A$2:$A$81,0))</x:f>
        <x:v>Small Business</x:v>
      </x:c>
      <x:c r="F426" t="str">
        <x:f>INDEX(Customers!$D$2:$D$81,MATCH(C426,Customers!$A$2:$A$81,0))</x:f>
        <x:v>North</x:v>
      </x:c>
      <x:c r="G426" t="str">
        <x:f>Raw_Orders!D426</x:f>
        <x:v>P006</x:v>
      </x:c>
      <x:c r="H426" t="str">
        <x:f>INDEX(Products!$B$2:$B$13,MATCH(G426,Products!$A$2:$A$13,0))</x:f>
        <x:v>Laptop Stand</x:v>
      </x:c>
      <x:c r="I426" t="str">
        <x:f>INDEX(Products!$C$2:$C$13,MATCH(G426,Products!$A$2:$A$13,0))</x:f>
        <x:v>Office</x:v>
      </x:c>
      <x:c r="J426" t="str">
        <x:f>Raw_Orders!G426</x:f>
        <x:v>Partner</x:v>
      </x:c>
      <x:c r="K426" t="n">
        <x:f>Raw_Orders!E426</x:f>
        <x:v>5</x:v>
      </x:c>
      <x:c r="L426" s="12" t="n">
        <x:f>Raw_Orders!F426</x:f>
        <x:v>0</x:v>
      </x:c>
      <x:c r="M426" s="14" t="n">
        <x:f>INDEX(Products!$D$2:$D$13,MATCH(G426,Products!$A$2:$A$13,0))</x:f>
        <x:v>55</x:v>
      </x:c>
      <x:c r="N426" s="14" t="n">
        <x:f>INDEX(Products!$E$2:$E$13,MATCH(G426,Products!$A$2:$A$13,0))</x:f>
        <x:v>24</x:v>
      </x:c>
      <x:c r="O426" s="14" t="n">
        <x:f>K426*M426</x:f>
        <x:v>275</x:v>
      </x:c>
      <x:c r="P426" s="14" t="n">
        <x:f>O426*(1-L426)</x:f>
        <x:v>275</x:v>
      </x:c>
      <x:c r="Q426" s="14" t="n">
        <x:f>K426*N426</x:f>
        <x:v>120</x:v>
      </x:c>
      <x:c r="R426" s="14" t="n">
        <x:f>P426-Q426</x:f>
        <x:v>155</x:v>
      </x:c>
      <x:c r="S426" s="16" t="n">
        <x:f>IFERROR(R426/P426,0)</x:f>
        <x:v>0.5636363636363636</x:v>
      </x:c>
    </x:row>
    <x:row r="427" ht="15" hidden="0" customHeight="1">
      <x:c r="A427" t="str">
        <x:f>Raw_Orders!A427</x:f>
        <x:v>O0426</x:v>
      </x:c>
      <x:c r="B427" s="10" t="n">
        <x:f>Raw_Orders!B427</x:f>
        <x:v>46006</x:v>
      </x:c>
      <x:c r="C427" t="str">
        <x:f>Raw_Orders!C427</x:f>
        <x:v>C034</x:v>
      </x:c>
      <x:c r="D427" t="str">
        <x:f>INDEX(Customers!$B$2:$B$81,MATCH(C427,Customers!$A$2:$A$81,0))</x:f>
        <x:v>Customer 34</x:v>
      </x:c>
      <x:c r="E427" t="str">
        <x:f>INDEX(Customers!$C$2:$C$81,MATCH(C427,Customers!$A$2:$A$81,0))</x:f>
        <x:v>Consumer</x:v>
      </x:c>
      <x:c r="F427" t="str">
        <x:f>INDEX(Customers!$D$2:$D$81,MATCH(C427,Customers!$A$2:$A$81,0))</x:f>
        <x:v>South</x:v>
      </x:c>
      <x:c r="G427" t="str">
        <x:f>Raw_Orders!D427</x:f>
        <x:v>P010</x:v>
      </x:c>
      <x:c r="H427" t="str">
        <x:f>INDEX(Products!$B$2:$B$13,MATCH(G427,Products!$A$2:$A$13,0))</x:f>
        <x:v>Portable SSD</x:v>
      </x:c>
      <x:c r="I427" t="str">
        <x:f>INDEX(Products!$C$2:$C$13,MATCH(G427,Products!$A$2:$A$13,0))</x:f>
        <x:v>Storage</x:v>
      </x:c>
      <x:c r="J427" t="str">
        <x:f>Raw_Orders!G427</x:f>
        <x:v>Online</x:v>
      </x:c>
      <x:c r="K427" t="n">
        <x:f>Raw_Orders!E427</x:f>
        <x:v>4</x:v>
      </x:c>
      <x:c r="L427" s="12" t="n">
        <x:f>Raw_Orders!F427</x:f>
        <x:v>0</x:v>
      </x:c>
      <x:c r="M427" s="14" t="n">
        <x:f>INDEX(Products!$D$2:$D$13,MATCH(G427,Products!$A$2:$A$13,0))</x:f>
        <x:v>145</x:v>
      </x:c>
      <x:c r="N427" s="14" t="n">
        <x:f>INDEX(Products!$E$2:$E$13,MATCH(G427,Products!$A$2:$A$13,0))</x:f>
        <x:v>86</x:v>
      </x:c>
      <x:c r="O427" s="14" t="n">
        <x:f>K427*M427</x:f>
        <x:v>580</x:v>
      </x:c>
      <x:c r="P427" s="14" t="n">
        <x:f>O427*(1-L427)</x:f>
        <x:v>580</x:v>
      </x:c>
      <x:c r="Q427" s="14" t="n">
        <x:f>K427*N427</x:f>
        <x:v>344</x:v>
      </x:c>
      <x:c r="R427" s="14" t="n">
        <x:f>P427-Q427</x:f>
        <x:v>236</x:v>
      </x:c>
      <x:c r="S427" s="16" t="n">
        <x:f>IFERROR(R427/P427,0)</x:f>
        <x:v>0.4068965517241379</x:v>
      </x:c>
    </x:row>
    <x:row r="428" ht="15" hidden="0" customHeight="1">
      <x:c r="A428" t="str">
        <x:f>Raw_Orders!A428</x:f>
        <x:v>O0427</x:v>
      </x:c>
      <x:c r="B428" s="10" t="n">
        <x:f>Raw_Orders!B428</x:f>
        <x:v>45800</x:v>
      </x:c>
      <x:c r="C428" t="str">
        <x:f>Raw_Orders!C428</x:f>
        <x:v>C072</x:v>
      </x:c>
      <x:c r="D428" t="str">
        <x:f>INDEX(Customers!$B$2:$B$81,MATCH(C428,Customers!$A$2:$A$81,0))</x:f>
        <x:v>Customer 72</x:v>
      </x:c>
      <x:c r="E428" t="str">
        <x:f>INDEX(Customers!$C$2:$C$81,MATCH(C428,Customers!$A$2:$A$81,0))</x:f>
        <x:v>Small Business</x:v>
      </x:c>
      <x:c r="F428" t="str">
        <x:f>INDEX(Customers!$D$2:$D$81,MATCH(C428,Customers!$A$2:$A$81,0))</x:f>
        <x:v>West</x:v>
      </x:c>
      <x:c r="G428" t="str">
        <x:f>Raw_Orders!D428</x:f>
        <x:v>P005</x:v>
      </x:c>
      <x:c r="H428" t="str">
        <x:f>INDEX(Products!$B$2:$B$13,MATCH(G428,Products!$A$2:$A$13,0))</x:f>
        <x:v>27in Monitor</x:v>
      </x:c>
      <x:c r="I428" t="str">
        <x:f>INDEX(Products!$C$2:$C$13,MATCH(G428,Products!$A$2:$A$13,0))</x:f>
        <x:v>Displays</x:v>
      </x:c>
      <x:c r="J428" t="str">
        <x:f>Raw_Orders!G428</x:f>
        <x:v>Retail</x:v>
      </x:c>
      <x:c r="K428" t="n">
        <x:f>Raw_Orders!E428</x:f>
        <x:v>2</x:v>
      </x:c>
      <x:c r="L428" s="12" t="n">
        <x:f>Raw_Orders!F428</x:f>
        <x:v>0</x:v>
      </x:c>
      <x:c r="M428" s="14" t="n">
        <x:f>INDEX(Products!$D$2:$D$13,MATCH(G428,Products!$A$2:$A$13,0))</x:f>
        <x:v>310</x:v>
      </x:c>
      <x:c r="N428" s="14" t="n">
        <x:f>INDEX(Products!$E$2:$E$13,MATCH(G428,Products!$A$2:$A$13,0))</x:f>
        <x:v>205</x:v>
      </x:c>
      <x:c r="O428" s="14" t="n">
        <x:f>K428*M428</x:f>
        <x:v>620</x:v>
      </x:c>
      <x:c r="P428" s="14" t="n">
        <x:f>O428*(1-L428)</x:f>
        <x:v>620</x:v>
      </x:c>
      <x:c r="Q428" s="14" t="n">
        <x:f>K428*N428</x:f>
        <x:v>410</x:v>
      </x:c>
      <x:c r="R428" s="14" t="n">
        <x:f>P428-Q428</x:f>
        <x:v>210</x:v>
      </x:c>
      <x:c r="S428" s="16" t="n">
        <x:f>IFERROR(R428/P428,0)</x:f>
        <x:v>0.3387096774193548</x:v>
      </x:c>
    </x:row>
    <x:row r="429" ht="15" hidden="0" customHeight="1">
      <x:c r="A429" t="str">
        <x:f>Raw_Orders!A429</x:f>
        <x:v>O0428</x:v>
      </x:c>
      <x:c r="B429" s="10" t="n">
        <x:f>Raw_Orders!B429</x:f>
        <x:v>46018</x:v>
      </x:c>
      <x:c r="C429" t="str">
        <x:f>Raw_Orders!C429</x:f>
        <x:v>C027</x:v>
      </x:c>
      <x:c r="D429" t="str">
        <x:f>INDEX(Customers!$B$2:$B$81,MATCH(C429,Customers!$A$2:$A$81,0))</x:f>
        <x:v>Customer 27</x:v>
      </x:c>
      <x:c r="E429" t="str">
        <x:f>INDEX(Customers!$C$2:$C$81,MATCH(C429,Customers!$A$2:$A$81,0))</x:f>
        <x:v>Small Business</x:v>
      </x:c>
      <x:c r="F429" t="str">
        <x:f>INDEX(Customers!$D$2:$D$81,MATCH(C429,Customers!$A$2:$A$81,0))</x:f>
        <x:v>East</x:v>
      </x:c>
      <x:c r="G429" t="str">
        <x:f>Raw_Orders!D429</x:f>
        <x:v>P012</x:v>
      </x:c>
      <x:c r="H429" t="str">
        <x:f>INDEX(Products!$B$2:$B$13,MATCH(G429,Products!$A$2:$A$13,0))</x:f>
        <x:v>Docking Station</x:v>
      </x:c>
      <x:c r="I429" t="str">
        <x:f>INDEX(Products!$C$2:$C$13,MATCH(G429,Products!$A$2:$A$13,0))</x:f>
        <x:v>Accessories</x:v>
      </x:c>
      <x:c r="J429" t="str">
        <x:f>Raw_Orders!G429</x:f>
        <x:v>Retail</x:v>
      </x:c>
      <x:c r="K429" t="n">
        <x:f>Raw_Orders!E429</x:f>
        <x:v>6</x:v>
      </x:c>
      <x:c r="L429" s="12" t="n">
        <x:f>Raw_Orders!F429</x:f>
        <x:v>0.05</x:v>
      </x:c>
      <x:c r="M429" s="14" t="n">
        <x:f>INDEX(Products!$D$2:$D$13,MATCH(G429,Products!$A$2:$A$13,0))</x:f>
        <x:v>180</x:v>
      </x:c>
      <x:c r="N429" s="14" t="n">
        <x:f>INDEX(Products!$E$2:$E$13,MATCH(G429,Products!$A$2:$A$13,0))</x:f>
        <x:v>104</x:v>
      </x:c>
      <x:c r="O429" s="14" t="n">
        <x:f>K429*M429</x:f>
        <x:v>1080</x:v>
      </x:c>
      <x:c r="P429" s="14" t="n">
        <x:f>O429*(1-L429)</x:f>
        <x:v>1026</x:v>
      </x:c>
      <x:c r="Q429" s="14" t="n">
        <x:f>K429*N429</x:f>
        <x:v>624</x:v>
      </x:c>
      <x:c r="R429" s="14" t="n">
        <x:f>P429-Q429</x:f>
        <x:v>402</x:v>
      </x:c>
      <x:c r="S429" s="16" t="n">
        <x:f>IFERROR(R429/P429,0)</x:f>
        <x:v>0.391812865497076</x:v>
      </x:c>
    </x:row>
    <x:row r="430" ht="15" hidden="0" customHeight="1">
      <x:c r="A430" t="str">
        <x:f>Raw_Orders!A430</x:f>
        <x:v>O0429</x:v>
      </x:c>
      <x:c r="B430" s="10" t="n">
        <x:f>Raw_Orders!B430</x:f>
        <x:v>45903</x:v>
      </x:c>
      <x:c r="C430" t="str">
        <x:f>Raw_Orders!C430</x:f>
        <x:v>C045</x:v>
      </x:c>
      <x:c r="D430" t="str">
        <x:f>INDEX(Customers!$B$2:$B$81,MATCH(C430,Customers!$A$2:$A$81,0))</x:f>
        <x:v>Customer 45</x:v>
      </x:c>
      <x:c r="E430" t="str">
        <x:f>INDEX(Customers!$C$2:$C$81,MATCH(C430,Customers!$A$2:$A$81,0))</x:f>
        <x:v>Small Business</x:v>
      </x:c>
      <x:c r="F430" t="str">
        <x:f>INDEX(Customers!$D$2:$D$81,MATCH(C430,Customers!$A$2:$A$81,0))</x:f>
        <x:v>North</x:v>
      </x:c>
      <x:c r="G430" t="str">
        <x:f>Raw_Orders!D430</x:f>
        <x:v>P009</x:v>
      </x:c>
      <x:c r="H430" t="str">
        <x:f>INDEX(Products!$B$2:$B$13,MATCH(G430,Products!$A$2:$A$13,0))</x:f>
        <x:v>Desk Lamp</x:v>
      </x:c>
      <x:c r="I430" t="str">
        <x:f>INDEX(Products!$C$2:$C$13,MATCH(G430,Products!$A$2:$A$13,0))</x:f>
        <x:v>Office</x:v>
      </x:c>
      <x:c r="J430" t="str">
        <x:f>Raw_Orders!G430</x:f>
        <x:v>Retail</x:v>
      </x:c>
      <x:c r="K430" t="n">
        <x:f>Raw_Orders!E430</x:f>
        <x:v>6</x:v>
      </x:c>
      <x:c r="L430" s="12" t="n">
        <x:f>Raw_Orders!F430</x:f>
        <x:v>0</x:v>
      </x:c>
      <x:c r="M430" s="14" t="n">
        <x:f>INDEX(Products!$D$2:$D$13,MATCH(G430,Products!$A$2:$A$13,0))</x:f>
        <x:v>70</x:v>
      </x:c>
      <x:c r="N430" s="14" t="n">
        <x:f>INDEX(Products!$E$2:$E$13,MATCH(G430,Products!$A$2:$A$13,0))</x:f>
        <x:v>29</x:v>
      </x:c>
      <x:c r="O430" s="14" t="n">
        <x:f>K430*M430</x:f>
        <x:v>420</x:v>
      </x:c>
      <x:c r="P430" s="14" t="n">
        <x:f>O430*(1-L430)</x:f>
        <x:v>420</x:v>
      </x:c>
      <x:c r="Q430" s="14" t="n">
        <x:f>K430*N430</x:f>
        <x:v>174</x:v>
      </x:c>
      <x:c r="R430" s="14" t="n">
        <x:f>P430-Q430</x:f>
        <x:v>246</x:v>
      </x:c>
      <x:c r="S430" s="16" t="n">
        <x:f>IFERROR(R430/P430,0)</x:f>
        <x:v>0.5857142857142857</x:v>
      </x:c>
    </x:row>
    <x:row r="431" ht="15" hidden="0" customHeight="1">
      <x:c r="A431" t="str">
        <x:f>Raw_Orders!A431</x:f>
        <x:v>O0430</x:v>
      </x:c>
      <x:c r="B431" s="10" t="n">
        <x:f>Raw_Orders!B431</x:f>
        <x:v>45720</x:v>
      </x:c>
      <x:c r="C431" t="str">
        <x:f>Raw_Orders!C431</x:f>
        <x:v>C074</x:v>
      </x:c>
      <x:c r="D431" t="str">
        <x:f>INDEX(Customers!$B$2:$B$81,MATCH(C431,Customers!$A$2:$A$81,0))</x:f>
        <x:v>Customer 74</x:v>
      </x:c>
      <x:c r="E431" t="str">
        <x:f>INDEX(Customers!$C$2:$C$81,MATCH(C431,Customers!$A$2:$A$81,0))</x:f>
        <x:v>Corporate</x:v>
      </x:c>
      <x:c r="F431" t="str">
        <x:f>INDEX(Customers!$D$2:$D$81,MATCH(C431,Customers!$A$2:$A$81,0))</x:f>
        <x:v>South</x:v>
      </x:c>
      <x:c r="G431" t="str">
        <x:f>Raw_Orders!D431</x:f>
        <x:v>P011</x:v>
      </x:c>
      <x:c r="H431" t="str">
        <x:f>INDEX(Products!$B$2:$B$13,MATCH(G431,Products!$A$2:$A$13,0))</x:f>
        <x:v>External HDD</x:v>
      </x:c>
      <x:c r="I431" t="str">
        <x:f>INDEX(Products!$C$2:$C$13,MATCH(G431,Products!$A$2:$A$13,0))</x:f>
        <x:v>Storage</x:v>
      </x:c>
      <x:c r="J431" t="str">
        <x:f>Raw_Orders!G431</x:f>
        <x:v>Retail</x:v>
      </x:c>
      <x:c r="K431" t="n">
        <x:f>Raw_Orders!E431</x:f>
        <x:v>5</x:v>
      </x:c>
      <x:c r="L431" s="12" t="n">
        <x:f>Raw_Orders!F431</x:f>
        <x:v>0.05</x:v>
      </x:c>
      <x:c r="M431" s="14" t="n">
        <x:f>INDEX(Products!$D$2:$D$13,MATCH(G431,Products!$A$2:$A$13,0))</x:f>
        <x:v>120</x:v>
      </x:c>
      <x:c r="N431" s="14" t="n">
        <x:f>INDEX(Products!$E$2:$E$13,MATCH(G431,Products!$A$2:$A$13,0))</x:f>
        <x:v>72</x:v>
      </x:c>
      <x:c r="O431" s="14" t="n">
        <x:f>K431*M431</x:f>
        <x:v>600</x:v>
      </x:c>
      <x:c r="P431" s="14" t="n">
        <x:f>O431*(1-L431)</x:f>
        <x:v>570</x:v>
      </x:c>
      <x:c r="Q431" s="14" t="n">
        <x:f>K431*N431</x:f>
        <x:v>360</x:v>
      </x:c>
      <x:c r="R431" s="14" t="n">
        <x:f>P431-Q431</x:f>
        <x:v>210</x:v>
      </x:c>
      <x:c r="S431" s="16" t="n">
        <x:f>IFERROR(R431/P431,0)</x:f>
        <x:v>0.3684210526315789</x:v>
      </x:c>
    </x:row>
    <x:row r="432" ht="15" hidden="0" customHeight="1">
      <x:c r="A432" t="str">
        <x:f>Raw_Orders!A432</x:f>
        <x:v>O0431</x:v>
      </x:c>
      <x:c r="B432" s="10" t="n">
        <x:f>Raw_Orders!B432</x:f>
        <x:v>45834</x:v>
      </x:c>
      <x:c r="C432" t="str">
        <x:f>Raw_Orders!C432</x:f>
        <x:v>C019</x:v>
      </x:c>
      <x:c r="D432" t="str">
        <x:f>INDEX(Customers!$B$2:$B$81,MATCH(C432,Customers!$A$2:$A$81,0))</x:f>
        <x:v>Customer 19</x:v>
      </x:c>
      <x:c r="E432" t="str">
        <x:f>INDEX(Customers!$C$2:$C$81,MATCH(C432,Customers!$A$2:$A$81,0))</x:f>
        <x:v>Consumer</x:v>
      </x:c>
      <x:c r="F432" t="str">
        <x:f>INDEX(Customers!$D$2:$D$81,MATCH(C432,Customers!$A$2:$A$81,0))</x:f>
        <x:v>East</x:v>
      </x:c>
      <x:c r="G432" t="str">
        <x:f>Raw_Orders!D432</x:f>
        <x:v>P005</x:v>
      </x:c>
      <x:c r="H432" t="str">
        <x:f>INDEX(Products!$B$2:$B$13,MATCH(G432,Products!$A$2:$A$13,0))</x:f>
        <x:v>27in Monitor</x:v>
      </x:c>
      <x:c r="I432" t="str">
        <x:f>INDEX(Products!$C$2:$C$13,MATCH(G432,Products!$A$2:$A$13,0))</x:f>
        <x:v>Displays</x:v>
      </x:c>
      <x:c r="J432" t="str">
        <x:f>Raw_Orders!G432</x:f>
        <x:v>Partner</x:v>
      </x:c>
      <x:c r="K432" t="n">
        <x:f>Raw_Orders!E432</x:f>
        <x:v>1</x:v>
      </x:c>
      <x:c r="L432" s="12" t="n">
        <x:f>Raw_Orders!F432</x:f>
        <x:v>0</x:v>
      </x:c>
      <x:c r="M432" s="14" t="n">
        <x:f>INDEX(Products!$D$2:$D$13,MATCH(G432,Products!$A$2:$A$13,0))</x:f>
        <x:v>310</x:v>
      </x:c>
      <x:c r="N432" s="14" t="n">
        <x:f>INDEX(Products!$E$2:$E$13,MATCH(G432,Products!$A$2:$A$13,0))</x:f>
        <x:v>205</x:v>
      </x:c>
      <x:c r="O432" s="14" t="n">
        <x:f>K432*M432</x:f>
        <x:v>310</x:v>
      </x:c>
      <x:c r="P432" s="14" t="n">
        <x:f>O432*(1-L432)</x:f>
        <x:v>310</x:v>
      </x:c>
      <x:c r="Q432" s="14" t="n">
        <x:f>K432*N432</x:f>
        <x:v>205</x:v>
      </x:c>
      <x:c r="R432" s="14" t="n">
        <x:f>P432-Q432</x:f>
        <x:v>105</x:v>
      </x:c>
      <x:c r="S432" s="16" t="n">
        <x:f>IFERROR(R432/P432,0)</x:f>
        <x:v>0.3387096774193548</x:v>
      </x:c>
    </x:row>
    <x:row r="433" ht="15" hidden="0" customHeight="1">
      <x:c r="A433" t="str">
        <x:f>Raw_Orders!A433</x:f>
        <x:v>O0432</x:v>
      </x:c>
      <x:c r="B433" s="10" t="n">
        <x:f>Raw_Orders!B433</x:f>
        <x:v>45698</x:v>
      </x:c>
      <x:c r="C433" t="str">
        <x:f>Raw_Orders!C433</x:f>
        <x:v>C045</x:v>
      </x:c>
      <x:c r="D433" t="str">
        <x:f>INDEX(Customers!$B$2:$B$81,MATCH(C433,Customers!$A$2:$A$81,0))</x:f>
        <x:v>Customer 45</x:v>
      </x:c>
      <x:c r="E433" t="str">
        <x:f>INDEX(Customers!$C$2:$C$81,MATCH(C433,Customers!$A$2:$A$81,0))</x:f>
        <x:v>Small Business</x:v>
      </x:c>
      <x:c r="F433" t="str">
        <x:f>INDEX(Customers!$D$2:$D$81,MATCH(C433,Customers!$A$2:$A$81,0))</x:f>
        <x:v>North</x:v>
      </x:c>
      <x:c r="G433" t="str">
        <x:f>Raw_Orders!D433</x:f>
        <x:v>P008</x:v>
      </x:c>
      <x:c r="H433" t="str">
        <x:f>INDEX(Products!$B$2:$B$13,MATCH(G433,Products!$A$2:$A$13,0))</x:f>
        <x:v>Webcam</x:v>
      </x:c>
      <x:c r="I433" t="str">
        <x:f>INDEX(Products!$C$2:$C$13,MATCH(G433,Products!$A$2:$A$13,0))</x:f>
        <x:v>Accessories</x:v>
      </x:c>
      <x:c r="J433" t="str">
        <x:f>Raw_Orders!G433</x:f>
        <x:v>Partner</x:v>
      </x:c>
      <x:c r="K433" t="n">
        <x:f>Raw_Orders!E433</x:f>
        <x:v>6</x:v>
      </x:c>
      <x:c r="L433" s="12" t="n">
        <x:f>Raw_Orders!F433</x:f>
        <x:v>0</x:v>
      </x:c>
      <x:c r="M433" s="14" t="n">
        <x:f>INDEX(Products!$D$2:$D$13,MATCH(G433,Products!$A$2:$A$13,0))</x:f>
        <x:v>95</x:v>
      </x:c>
      <x:c r="N433" s="14" t="n">
        <x:f>INDEX(Products!$E$2:$E$13,MATCH(G433,Products!$A$2:$A$13,0))</x:f>
        <x:v>49</x:v>
      </x:c>
      <x:c r="O433" s="14" t="n">
        <x:f>K433*M433</x:f>
        <x:v>570</x:v>
      </x:c>
      <x:c r="P433" s="14" t="n">
        <x:f>O433*(1-L433)</x:f>
        <x:v>570</x:v>
      </x:c>
      <x:c r="Q433" s="14" t="n">
        <x:f>K433*N433</x:f>
        <x:v>294</x:v>
      </x:c>
      <x:c r="R433" s="14" t="n">
        <x:f>P433-Q433</x:f>
        <x:v>276</x:v>
      </x:c>
      <x:c r="S433" s="16" t="n">
        <x:f>IFERROR(R433/P433,0)</x:f>
        <x:v>0.4842105263157895</x:v>
      </x:c>
    </x:row>
    <x:row r="434" ht="15" hidden="0" customHeight="1">
      <x:c r="A434" t="str">
        <x:f>Raw_Orders!A434</x:f>
        <x:v>O0433</x:v>
      </x:c>
      <x:c r="B434" s="10" t="n">
        <x:f>Raw_Orders!B434</x:f>
        <x:v>45903</x:v>
      </x:c>
      <x:c r="C434" t="str">
        <x:f>Raw_Orders!C434</x:f>
        <x:v>C028</x:v>
      </x:c>
      <x:c r="D434" t="str">
        <x:f>INDEX(Customers!$B$2:$B$81,MATCH(C434,Customers!$A$2:$A$81,0))</x:f>
        <x:v>Customer 28</x:v>
      </x:c>
      <x:c r="E434" t="str">
        <x:f>INDEX(Customers!$C$2:$C$81,MATCH(C434,Customers!$A$2:$A$81,0))</x:f>
        <x:v>Consumer</x:v>
      </x:c>
      <x:c r="F434" t="str">
        <x:f>INDEX(Customers!$D$2:$D$81,MATCH(C434,Customers!$A$2:$A$81,0))</x:f>
        <x:v>West</x:v>
      </x:c>
      <x:c r="G434" t="str">
        <x:f>Raw_Orders!D434</x:f>
        <x:v>P004</x:v>
      </x:c>
      <x:c r="H434" t="str">
        <x:f>INDEX(Products!$B$2:$B$13,MATCH(G434,Products!$A$2:$A$13,0))</x:f>
        <x:v>24in Monitor</x:v>
      </x:c>
      <x:c r="I434" t="str">
        <x:f>INDEX(Products!$C$2:$C$13,MATCH(G434,Products!$A$2:$A$13,0))</x:f>
        <x:v>Displays</x:v>
      </x:c>
      <x:c r="J434" t="str">
        <x:f>Raw_Orders!G434</x:f>
        <x:v>Partner</x:v>
      </x:c>
      <x:c r="K434" t="n">
        <x:f>Raw_Orders!E434</x:f>
        <x:v>5</x:v>
      </x:c>
      <x:c r="L434" s="12" t="n">
        <x:f>Raw_Orders!F434</x:f>
        <x:v>0</x:v>
      </x:c>
      <x:c r="M434" s="14" t="n">
        <x:f>INDEX(Products!$D$2:$D$13,MATCH(G434,Products!$A$2:$A$13,0))</x:f>
        <x:v>220</x:v>
      </x:c>
      <x:c r="N434" s="14" t="n">
        <x:f>INDEX(Products!$E$2:$E$13,MATCH(G434,Products!$A$2:$A$13,0))</x:f>
        <x:v>142</x:v>
      </x:c>
      <x:c r="O434" s="14" t="n">
        <x:f>K434*M434</x:f>
        <x:v>1100</x:v>
      </x:c>
      <x:c r="P434" s="14" t="n">
        <x:f>O434*(1-L434)</x:f>
        <x:v>1100</x:v>
      </x:c>
      <x:c r="Q434" s="14" t="n">
        <x:f>K434*N434</x:f>
        <x:v>710</x:v>
      </x:c>
      <x:c r="R434" s="14" t="n">
        <x:f>P434-Q434</x:f>
        <x:v>390</x:v>
      </x:c>
      <x:c r="S434" s="16" t="n">
        <x:f>IFERROR(R434/P434,0)</x:f>
        <x:v>0.35454545454545455</x:v>
      </x:c>
    </x:row>
    <x:row r="435" ht="15" hidden="0" customHeight="1">
      <x:c r="A435" t="str">
        <x:f>Raw_Orders!A435</x:f>
        <x:v>O0434</x:v>
      </x:c>
      <x:c r="B435" s="10" t="n">
        <x:f>Raw_Orders!B435</x:f>
        <x:v>46014</x:v>
      </x:c>
      <x:c r="C435" t="str">
        <x:f>Raw_Orders!C435</x:f>
        <x:v>C035</x:v>
      </x:c>
      <x:c r="D435" t="str">
        <x:f>INDEX(Customers!$B$2:$B$81,MATCH(C435,Customers!$A$2:$A$81,0))</x:f>
        <x:v>Customer 35</x:v>
      </x:c>
      <x:c r="E435" t="str">
        <x:f>INDEX(Customers!$C$2:$C$81,MATCH(C435,Customers!$A$2:$A$81,0))</x:f>
        <x:v>Corporate</x:v>
      </x:c>
      <x:c r="F435" t="str">
        <x:f>INDEX(Customers!$D$2:$D$81,MATCH(C435,Customers!$A$2:$A$81,0))</x:f>
        <x:v>East</x:v>
      </x:c>
      <x:c r="G435" t="str">
        <x:f>Raw_Orders!D435</x:f>
        <x:v>P003</x:v>
      </x:c>
      <x:c r="H435" t="str">
        <x:f>INDEX(Products!$B$2:$B$13,MATCH(G435,Products!$A$2:$A$13,0))</x:f>
        <x:v>USB-C Hub</x:v>
      </x:c>
      <x:c r="I435" t="str">
        <x:f>INDEX(Products!$C$2:$C$13,MATCH(G435,Products!$A$2:$A$13,0))</x:f>
        <x:v>Accessories</x:v>
      </x:c>
      <x:c r="J435" t="str">
        <x:f>Raw_Orders!G435</x:f>
        <x:v>Partner</x:v>
      </x:c>
      <x:c r="K435" t="n">
        <x:f>Raw_Orders!E435</x:f>
        <x:v>1</x:v>
      </x:c>
      <x:c r="L435" s="12" t="n">
        <x:f>Raw_Orders!F435</x:f>
        <x:v>0.1</x:v>
      </x:c>
      <x:c r="M435" s="14" t="n">
        <x:f>INDEX(Products!$D$2:$D$13,MATCH(G435,Products!$A$2:$A$13,0))</x:f>
        <x:v>65</x:v>
      </x:c>
      <x:c r="N435" s="14" t="n">
        <x:f>INDEX(Products!$E$2:$E$13,MATCH(G435,Products!$A$2:$A$13,0))</x:f>
        <x:v>31</x:v>
      </x:c>
      <x:c r="O435" s="14" t="n">
        <x:f>K435*M435</x:f>
        <x:v>65</x:v>
      </x:c>
      <x:c r="P435" s="14" t="n">
        <x:f>O435*(1-L435)</x:f>
        <x:v>58.5</x:v>
      </x:c>
      <x:c r="Q435" s="14" t="n">
        <x:f>K435*N435</x:f>
        <x:v>31</x:v>
      </x:c>
      <x:c r="R435" s="14" t="n">
        <x:f>P435-Q435</x:f>
        <x:v>27.5</x:v>
      </x:c>
      <x:c r="S435" s="16" t="n">
        <x:f>IFERROR(R435/P435,0)</x:f>
        <x:v>0.4700854700854701</x:v>
      </x:c>
    </x:row>
    <x:row r="436" ht="15" hidden="0" customHeight="1">
      <x:c r="A436" t="str">
        <x:f>Raw_Orders!A436</x:f>
        <x:v>O0435</x:v>
      </x:c>
      <x:c r="B436" s="10" t="n">
        <x:f>Raw_Orders!B436</x:f>
        <x:v>45958</x:v>
      </x:c>
      <x:c r="C436" t="str">
        <x:f>Raw_Orders!C436</x:f>
        <x:v>C031</x:v>
      </x:c>
      <x:c r="D436" t="str">
        <x:f>INDEX(Customers!$B$2:$B$81,MATCH(C436,Customers!$A$2:$A$81,0))</x:f>
        <x:v>Customer 31</x:v>
      </x:c>
      <x:c r="E436" t="str">
        <x:f>INDEX(Customers!$C$2:$C$81,MATCH(C436,Customers!$A$2:$A$81,0))</x:f>
        <x:v>Consumer</x:v>
      </x:c>
      <x:c r="F436" t="str">
        <x:f>INDEX(Customers!$D$2:$D$81,MATCH(C436,Customers!$A$2:$A$81,0))</x:f>
        <x:v>East</x:v>
      </x:c>
      <x:c r="G436" t="str">
        <x:f>Raw_Orders!D436</x:f>
        <x:v>P004</x:v>
      </x:c>
      <x:c r="H436" t="str">
        <x:f>INDEX(Products!$B$2:$B$13,MATCH(G436,Products!$A$2:$A$13,0))</x:f>
        <x:v>24in Monitor</x:v>
      </x:c>
      <x:c r="I436" t="str">
        <x:f>INDEX(Products!$C$2:$C$13,MATCH(G436,Products!$A$2:$A$13,0))</x:f>
        <x:v>Displays</x:v>
      </x:c>
      <x:c r="J436" t="str">
        <x:f>Raw_Orders!G436</x:f>
        <x:v>Partner</x:v>
      </x:c>
      <x:c r="K436" t="n">
        <x:f>Raw_Orders!E436</x:f>
        <x:v>1</x:v>
      </x:c>
      <x:c r="L436" s="12" t="n">
        <x:f>Raw_Orders!F436</x:f>
        <x:v>0.15</x:v>
      </x:c>
      <x:c r="M436" s="14" t="n">
        <x:f>INDEX(Products!$D$2:$D$13,MATCH(G436,Products!$A$2:$A$13,0))</x:f>
        <x:v>220</x:v>
      </x:c>
      <x:c r="N436" s="14" t="n">
        <x:f>INDEX(Products!$E$2:$E$13,MATCH(G436,Products!$A$2:$A$13,0))</x:f>
        <x:v>142</x:v>
      </x:c>
      <x:c r="O436" s="14" t="n">
        <x:f>K436*M436</x:f>
        <x:v>220</x:v>
      </x:c>
      <x:c r="P436" s="14" t="n">
        <x:f>O436*(1-L436)</x:f>
        <x:v>187</x:v>
      </x:c>
      <x:c r="Q436" s="14" t="n">
        <x:f>K436*N436</x:f>
        <x:v>142</x:v>
      </x:c>
      <x:c r="R436" s="14" t="n">
        <x:f>P436-Q436</x:f>
        <x:v>45</x:v>
      </x:c>
      <x:c r="S436" s="16" t="n">
        <x:f>IFERROR(R436/P436,0)</x:f>
        <x:v>0.24064171122994651</x:v>
      </x:c>
    </x:row>
    <x:row r="437" ht="15" hidden="0" customHeight="1">
      <x:c r="A437" t="str">
        <x:f>Raw_Orders!A437</x:f>
        <x:v>O0436</x:v>
      </x:c>
      <x:c r="B437" s="10" t="n">
        <x:f>Raw_Orders!B437</x:f>
        <x:v>45773</x:v>
      </x:c>
      <x:c r="C437" t="str">
        <x:f>Raw_Orders!C437</x:f>
        <x:v>C030</x:v>
      </x:c>
      <x:c r="D437" t="str">
        <x:f>INDEX(Customers!$B$2:$B$81,MATCH(C437,Customers!$A$2:$A$81,0))</x:f>
        <x:v>Customer 30</x:v>
      </x:c>
      <x:c r="E437" t="str">
        <x:f>INDEX(Customers!$C$2:$C$81,MATCH(C437,Customers!$A$2:$A$81,0))</x:f>
        <x:v>Small Business</x:v>
      </x:c>
      <x:c r="F437" t="str">
        <x:f>INDEX(Customers!$D$2:$D$81,MATCH(C437,Customers!$A$2:$A$81,0))</x:f>
        <x:v>South</x:v>
      </x:c>
      <x:c r="G437" t="str">
        <x:f>Raw_Orders!D437</x:f>
        <x:v>P001</x:v>
      </x:c>
      <x:c r="H437" t="str">
        <x:f>INDEX(Products!$B$2:$B$13,MATCH(G437,Products!$A$2:$A$13,0))</x:f>
        <x:v>Wireless Headset</x:v>
      </x:c>
      <x:c r="I437" t="str">
        <x:f>INDEX(Products!$C$2:$C$13,MATCH(G437,Products!$A$2:$A$13,0))</x:f>
        <x:v>Accessories</x:v>
      </x:c>
      <x:c r="J437" t="str">
        <x:f>Raw_Orders!G437</x:f>
        <x:v>Retail</x:v>
      </x:c>
      <x:c r="K437" t="n">
        <x:f>Raw_Orders!E437</x:f>
        <x:v>1</x:v>
      </x:c>
      <x:c r="L437" s="12" t="n">
        <x:f>Raw_Orders!F437</x:f>
        <x:v>0.05</x:v>
      </x:c>
      <x:c r="M437" s="14" t="n">
        <x:f>INDEX(Products!$D$2:$D$13,MATCH(G437,Products!$A$2:$A$13,0))</x:f>
        <x:v>85</x:v>
      </x:c>
      <x:c r="N437" s="14" t="n">
        <x:f>INDEX(Products!$E$2:$E$13,MATCH(G437,Products!$A$2:$A$13,0))</x:f>
        <x:v>42</x:v>
      </x:c>
      <x:c r="O437" s="14" t="n">
        <x:f>K437*M437</x:f>
        <x:v>85</x:v>
      </x:c>
      <x:c r="P437" s="14" t="n">
        <x:f>O437*(1-L437)</x:f>
        <x:v>80.75</x:v>
      </x:c>
      <x:c r="Q437" s="14" t="n">
        <x:f>K437*N437</x:f>
        <x:v>42</x:v>
      </x:c>
      <x:c r="R437" s="14" t="n">
        <x:f>P437-Q437</x:f>
        <x:v>38.75</x:v>
      </x:c>
      <x:c r="S437" s="16" t="n">
        <x:f>IFERROR(R437/P437,0)</x:f>
        <x:v>0.47987616099071206</x:v>
      </x:c>
    </x:row>
    <x:row r="438" ht="15" hidden="0" customHeight="1">
      <x:c r="A438" t="str">
        <x:f>Raw_Orders!A438</x:f>
        <x:v>O0437</x:v>
      </x:c>
      <x:c r="B438" s="10" t="n">
        <x:f>Raw_Orders!B438</x:f>
        <x:v>45899</x:v>
      </x:c>
      <x:c r="C438" t="str">
        <x:f>Raw_Orders!C438</x:f>
        <x:v>C013</x:v>
      </x:c>
      <x:c r="D438" t="str">
        <x:f>INDEX(Customers!$B$2:$B$81,MATCH(C438,Customers!$A$2:$A$81,0))</x:f>
        <x:v>Customer 13</x:v>
      </x:c>
      <x:c r="E438" t="str">
        <x:f>INDEX(Customers!$C$2:$C$81,MATCH(C438,Customers!$A$2:$A$81,0))</x:f>
        <x:v>Consumer</x:v>
      </x:c>
      <x:c r="F438" t="str">
        <x:f>INDEX(Customers!$D$2:$D$81,MATCH(C438,Customers!$A$2:$A$81,0))</x:f>
        <x:v>North</x:v>
      </x:c>
      <x:c r="G438" t="str">
        <x:f>Raw_Orders!D438</x:f>
        <x:v>P011</x:v>
      </x:c>
      <x:c r="H438" t="str">
        <x:f>INDEX(Products!$B$2:$B$13,MATCH(G438,Products!$A$2:$A$13,0))</x:f>
        <x:v>External HDD</x:v>
      </x:c>
      <x:c r="I438" t="str">
        <x:f>INDEX(Products!$C$2:$C$13,MATCH(G438,Products!$A$2:$A$13,0))</x:f>
        <x:v>Storage</x:v>
      </x:c>
      <x:c r="J438" t="str">
        <x:f>Raw_Orders!G438</x:f>
        <x:v>Partner</x:v>
      </x:c>
      <x:c r="K438" t="n">
        <x:f>Raw_Orders!E438</x:f>
        <x:v>2</x:v>
      </x:c>
      <x:c r="L438" s="12" t="n">
        <x:f>Raw_Orders!F438</x:f>
        <x:v>0</x:v>
      </x:c>
      <x:c r="M438" s="14" t="n">
        <x:f>INDEX(Products!$D$2:$D$13,MATCH(G438,Products!$A$2:$A$13,0))</x:f>
        <x:v>120</x:v>
      </x:c>
      <x:c r="N438" s="14" t="n">
        <x:f>INDEX(Products!$E$2:$E$13,MATCH(G438,Products!$A$2:$A$13,0))</x:f>
        <x:v>72</x:v>
      </x:c>
      <x:c r="O438" s="14" t="n">
        <x:f>K438*M438</x:f>
        <x:v>240</x:v>
      </x:c>
      <x:c r="P438" s="14" t="n">
        <x:f>O438*(1-L438)</x:f>
        <x:v>240</x:v>
      </x:c>
      <x:c r="Q438" s="14" t="n">
        <x:f>K438*N438</x:f>
        <x:v>144</x:v>
      </x:c>
      <x:c r="R438" s="14" t="n">
        <x:f>P438-Q438</x:f>
        <x:v>96</x:v>
      </x:c>
      <x:c r="S438" s="16" t="n">
        <x:f>IFERROR(R438/P438,0)</x:f>
        <x:v>0.4</x:v>
      </x:c>
    </x:row>
    <x:row r="439" ht="15" hidden="0" customHeight="1">
      <x:c r="A439" t="str">
        <x:f>Raw_Orders!A439</x:f>
        <x:v>O0438</x:v>
      </x:c>
      <x:c r="B439" s="10" t="n">
        <x:f>Raw_Orders!B439</x:f>
        <x:v>45738</x:v>
      </x:c>
      <x:c r="C439" t="str">
        <x:f>Raw_Orders!C439</x:f>
        <x:v>C053</x:v>
      </x:c>
      <x:c r="D439" t="str">
        <x:f>INDEX(Customers!$B$2:$B$81,MATCH(C439,Customers!$A$2:$A$81,0))</x:f>
        <x:v>Customer 53</x:v>
      </x:c>
      <x:c r="E439" t="str">
        <x:f>INDEX(Customers!$C$2:$C$81,MATCH(C439,Customers!$A$2:$A$81,0))</x:f>
        <x:v>Corporate</x:v>
      </x:c>
      <x:c r="F439" t="str">
        <x:f>INDEX(Customers!$D$2:$D$81,MATCH(C439,Customers!$A$2:$A$81,0))</x:f>
        <x:v>North</x:v>
      </x:c>
      <x:c r="G439" t="str">
        <x:f>Raw_Orders!D439</x:f>
        <x:v>P011</x:v>
      </x:c>
      <x:c r="H439" t="str">
        <x:f>INDEX(Products!$B$2:$B$13,MATCH(G439,Products!$A$2:$A$13,0))</x:f>
        <x:v>External HDD</x:v>
      </x:c>
      <x:c r="I439" t="str">
        <x:f>INDEX(Products!$C$2:$C$13,MATCH(G439,Products!$A$2:$A$13,0))</x:f>
        <x:v>Storage</x:v>
      </x:c>
      <x:c r="J439" t="str">
        <x:f>Raw_Orders!G439</x:f>
        <x:v>Partner</x:v>
      </x:c>
      <x:c r="K439" t="n">
        <x:f>Raw_Orders!E439</x:f>
        <x:v>4</x:v>
      </x:c>
      <x:c r="L439" s="12" t="n">
        <x:f>Raw_Orders!F439</x:f>
        <x:v>0.05</x:v>
      </x:c>
      <x:c r="M439" s="14" t="n">
        <x:f>INDEX(Products!$D$2:$D$13,MATCH(G439,Products!$A$2:$A$13,0))</x:f>
        <x:v>120</x:v>
      </x:c>
      <x:c r="N439" s="14" t="n">
        <x:f>INDEX(Products!$E$2:$E$13,MATCH(G439,Products!$A$2:$A$13,0))</x:f>
        <x:v>72</x:v>
      </x:c>
      <x:c r="O439" s="14" t="n">
        <x:f>K439*M439</x:f>
        <x:v>480</x:v>
      </x:c>
      <x:c r="P439" s="14" t="n">
        <x:f>O439*(1-L439)</x:f>
        <x:v>456</x:v>
      </x:c>
      <x:c r="Q439" s="14" t="n">
        <x:f>K439*N439</x:f>
        <x:v>288</x:v>
      </x:c>
      <x:c r="R439" s="14" t="n">
        <x:f>P439-Q439</x:f>
        <x:v>168</x:v>
      </x:c>
      <x:c r="S439" s="16" t="n">
        <x:f>IFERROR(R439/P439,0)</x:f>
        <x:v>0.3684210526315789</x:v>
      </x:c>
    </x:row>
    <x:row r="440" ht="15" hidden="0" customHeight="1">
      <x:c r="A440" t="str">
        <x:f>Raw_Orders!A440</x:f>
        <x:v>O0439</x:v>
      </x:c>
      <x:c r="B440" s="10" t="n">
        <x:f>Raw_Orders!B440</x:f>
        <x:v>45760</x:v>
      </x:c>
      <x:c r="C440" t="str">
        <x:f>Raw_Orders!C440</x:f>
        <x:v>C037</x:v>
      </x:c>
      <x:c r="D440" t="str">
        <x:f>INDEX(Customers!$B$2:$B$81,MATCH(C440,Customers!$A$2:$A$81,0))</x:f>
        <x:v>Customer 37</x:v>
      </x:c>
      <x:c r="E440" t="str">
        <x:f>INDEX(Customers!$C$2:$C$81,MATCH(C440,Customers!$A$2:$A$81,0))</x:f>
        <x:v>Consumer</x:v>
      </x:c>
      <x:c r="F440" t="str">
        <x:f>INDEX(Customers!$D$2:$D$81,MATCH(C440,Customers!$A$2:$A$81,0))</x:f>
        <x:v>North</x:v>
      </x:c>
      <x:c r="G440" t="str">
        <x:f>Raw_Orders!D440</x:f>
        <x:v>P006</x:v>
      </x:c>
      <x:c r="H440" t="str">
        <x:f>INDEX(Products!$B$2:$B$13,MATCH(G440,Products!$A$2:$A$13,0))</x:f>
        <x:v>Laptop Stand</x:v>
      </x:c>
      <x:c r="I440" t="str">
        <x:f>INDEX(Products!$C$2:$C$13,MATCH(G440,Products!$A$2:$A$13,0))</x:f>
        <x:v>Office</x:v>
      </x:c>
      <x:c r="J440" t="str">
        <x:f>Raw_Orders!G440</x:f>
        <x:v>Online</x:v>
      </x:c>
      <x:c r="K440" t="n">
        <x:f>Raw_Orders!E440</x:f>
        <x:v>3</x:v>
      </x:c>
      <x:c r="L440" s="12" t="n">
        <x:f>Raw_Orders!F440</x:f>
        <x:v>0.15</x:v>
      </x:c>
      <x:c r="M440" s="14" t="n">
        <x:f>INDEX(Products!$D$2:$D$13,MATCH(G440,Products!$A$2:$A$13,0))</x:f>
        <x:v>55</x:v>
      </x:c>
      <x:c r="N440" s="14" t="n">
        <x:f>INDEX(Products!$E$2:$E$13,MATCH(G440,Products!$A$2:$A$13,0))</x:f>
        <x:v>24</x:v>
      </x:c>
      <x:c r="O440" s="14" t="n">
        <x:f>K440*M440</x:f>
        <x:v>165</x:v>
      </x:c>
      <x:c r="P440" s="14" t="n">
        <x:f>O440*(1-L440)</x:f>
        <x:v>140.25</x:v>
      </x:c>
      <x:c r="Q440" s="14" t="n">
        <x:f>K440*N440</x:f>
        <x:v>72</x:v>
      </x:c>
      <x:c r="R440" s="14" t="n">
        <x:f>P440-Q440</x:f>
        <x:v>68.25</x:v>
      </x:c>
      <x:c r="S440" s="16" t="n">
        <x:f>IFERROR(R440/P440,0)</x:f>
        <x:v>0.48663101604278075</x:v>
      </x:c>
    </x:row>
    <x:row r="441" ht="15" hidden="0" customHeight="1">
      <x:c r="A441" t="str">
        <x:f>Raw_Orders!A441</x:f>
        <x:v>O0440</x:v>
      </x:c>
      <x:c r="B441" s="10" t="n">
        <x:f>Raw_Orders!B441</x:f>
        <x:v>45703</x:v>
      </x:c>
      <x:c r="C441" t="str">
        <x:f>Raw_Orders!C441</x:f>
        <x:v>C074</x:v>
      </x:c>
      <x:c r="D441" t="str">
        <x:f>INDEX(Customers!$B$2:$B$81,MATCH(C441,Customers!$A$2:$A$81,0))</x:f>
        <x:v>Customer 74</x:v>
      </x:c>
      <x:c r="E441" t="str">
        <x:f>INDEX(Customers!$C$2:$C$81,MATCH(C441,Customers!$A$2:$A$81,0))</x:f>
        <x:v>Corporate</x:v>
      </x:c>
      <x:c r="F441" t="str">
        <x:f>INDEX(Customers!$D$2:$D$81,MATCH(C441,Customers!$A$2:$A$81,0))</x:f>
        <x:v>South</x:v>
      </x:c>
      <x:c r="G441" t="str">
        <x:f>Raw_Orders!D441</x:f>
        <x:v>P004</x:v>
      </x:c>
      <x:c r="H441" t="str">
        <x:f>INDEX(Products!$B$2:$B$13,MATCH(G441,Products!$A$2:$A$13,0))</x:f>
        <x:v>24in Monitor</x:v>
      </x:c>
      <x:c r="I441" t="str">
        <x:f>INDEX(Products!$C$2:$C$13,MATCH(G441,Products!$A$2:$A$13,0))</x:f>
        <x:v>Displays</x:v>
      </x:c>
      <x:c r="J441" t="str">
        <x:f>Raw_Orders!G441</x:f>
        <x:v>Partner</x:v>
      </x:c>
      <x:c r="K441" t="n">
        <x:f>Raw_Orders!E441</x:f>
        <x:v>5</x:v>
      </x:c>
      <x:c r="L441" s="12" t="n">
        <x:f>Raw_Orders!F441</x:f>
        <x:v>0.15</x:v>
      </x:c>
      <x:c r="M441" s="14" t="n">
        <x:f>INDEX(Products!$D$2:$D$13,MATCH(G441,Products!$A$2:$A$13,0))</x:f>
        <x:v>220</x:v>
      </x:c>
      <x:c r="N441" s="14" t="n">
        <x:f>INDEX(Products!$E$2:$E$13,MATCH(G441,Products!$A$2:$A$13,0))</x:f>
        <x:v>142</x:v>
      </x:c>
      <x:c r="O441" s="14" t="n">
        <x:f>K441*M441</x:f>
        <x:v>1100</x:v>
      </x:c>
      <x:c r="P441" s="14" t="n">
        <x:f>O441*(1-L441)</x:f>
        <x:v>935</x:v>
      </x:c>
      <x:c r="Q441" s="14" t="n">
        <x:f>K441*N441</x:f>
        <x:v>710</x:v>
      </x:c>
      <x:c r="R441" s="14" t="n">
        <x:f>P441-Q441</x:f>
        <x:v>225</x:v>
      </x:c>
      <x:c r="S441" s="16" t="n">
        <x:f>IFERROR(R441/P441,0)</x:f>
        <x:v>0.24064171122994651</x:v>
      </x:c>
    </x:row>
    <x:row r="442" ht="15" hidden="0" customHeight="1">
      <x:c r="A442" t="str">
        <x:f>Raw_Orders!A442</x:f>
        <x:v>O0441</x:v>
      </x:c>
      <x:c r="B442" s="10" t="n">
        <x:f>Raw_Orders!B442</x:f>
        <x:v>45677</x:v>
      </x:c>
      <x:c r="C442" t="str">
        <x:f>Raw_Orders!C442</x:f>
        <x:v>C023</x:v>
      </x:c>
      <x:c r="D442" t="str">
        <x:f>INDEX(Customers!$B$2:$B$81,MATCH(C442,Customers!$A$2:$A$81,0))</x:f>
        <x:v>Customer 23</x:v>
      </x:c>
      <x:c r="E442" t="str">
        <x:f>INDEX(Customers!$C$2:$C$81,MATCH(C442,Customers!$A$2:$A$81,0))</x:f>
        <x:v>Corporate</x:v>
      </x:c>
      <x:c r="F442" t="str">
        <x:f>INDEX(Customers!$D$2:$D$81,MATCH(C442,Customers!$A$2:$A$81,0))</x:f>
        <x:v>East</x:v>
      </x:c>
      <x:c r="G442" t="str">
        <x:f>Raw_Orders!D442</x:f>
        <x:v>P007</x:v>
      </x:c>
      <x:c r="H442" t="str">
        <x:f>INDEX(Products!$B$2:$B$13,MATCH(G442,Products!$A$2:$A$13,0))</x:f>
        <x:v>Ergonomic Chair</x:v>
      </x:c>
      <x:c r="I442" t="str">
        <x:f>INDEX(Products!$C$2:$C$13,MATCH(G442,Products!$A$2:$A$13,0))</x:f>
        <x:v>Office</x:v>
      </x:c>
      <x:c r="J442" t="str">
        <x:f>Raw_Orders!G442</x:f>
        <x:v>Retail</x:v>
      </x:c>
      <x:c r="K442" t="n">
        <x:f>Raw_Orders!E442</x:f>
        <x:v>2</x:v>
      </x:c>
      <x:c r="L442" s="12" t="n">
        <x:f>Raw_Orders!F442</x:f>
        <x:v>0</x:v>
      </x:c>
      <x:c r="M442" s="14" t="n">
        <x:f>INDEX(Products!$D$2:$D$13,MATCH(G442,Products!$A$2:$A$13,0))</x:f>
        <x:v>390</x:v>
      </x:c>
      <x:c r="N442" s="14" t="n">
        <x:f>INDEX(Products!$E$2:$E$13,MATCH(G442,Products!$A$2:$A$13,0))</x:f>
        <x:v>245</x:v>
      </x:c>
      <x:c r="O442" s="14" t="n">
        <x:f>K442*M442</x:f>
        <x:v>780</x:v>
      </x:c>
      <x:c r="P442" s="14" t="n">
        <x:f>O442*(1-L442)</x:f>
        <x:v>780</x:v>
      </x:c>
      <x:c r="Q442" s="14" t="n">
        <x:f>K442*N442</x:f>
        <x:v>490</x:v>
      </x:c>
      <x:c r="R442" s="14" t="n">
        <x:f>P442-Q442</x:f>
        <x:v>290</x:v>
      </x:c>
      <x:c r="S442" s="16" t="n">
        <x:f>IFERROR(R442/P442,0)</x:f>
        <x:v>0.3717948717948718</x:v>
      </x:c>
    </x:row>
    <x:row r="443" ht="15" hidden="0" customHeight="1">
      <x:c r="A443" t="str">
        <x:f>Raw_Orders!A443</x:f>
        <x:v>O0442</x:v>
      </x:c>
      <x:c r="B443" s="10" t="n">
        <x:f>Raw_Orders!B443</x:f>
        <x:v>45911</x:v>
      </x:c>
      <x:c r="C443" t="str">
        <x:f>Raw_Orders!C443</x:f>
        <x:v>C024</x:v>
      </x:c>
      <x:c r="D443" t="str">
        <x:f>INDEX(Customers!$B$2:$B$81,MATCH(C443,Customers!$A$2:$A$81,0))</x:f>
        <x:v>Customer 24</x:v>
      </x:c>
      <x:c r="E443" t="str">
        <x:f>INDEX(Customers!$C$2:$C$81,MATCH(C443,Customers!$A$2:$A$81,0))</x:f>
        <x:v>Small Business</x:v>
      </x:c>
      <x:c r="F443" t="str">
        <x:f>INDEX(Customers!$D$2:$D$81,MATCH(C443,Customers!$A$2:$A$81,0))</x:f>
        <x:v>West</x:v>
      </x:c>
      <x:c r="G443" t="str">
        <x:f>Raw_Orders!D443</x:f>
        <x:v>P012</x:v>
      </x:c>
      <x:c r="H443" t="str">
        <x:f>INDEX(Products!$B$2:$B$13,MATCH(G443,Products!$A$2:$A$13,0))</x:f>
        <x:v>Docking Station</x:v>
      </x:c>
      <x:c r="I443" t="str">
        <x:f>INDEX(Products!$C$2:$C$13,MATCH(G443,Products!$A$2:$A$13,0))</x:f>
        <x:v>Accessories</x:v>
      </x:c>
      <x:c r="J443" t="str">
        <x:f>Raw_Orders!G443</x:f>
        <x:v>Online</x:v>
      </x:c>
      <x:c r="K443" t="n">
        <x:f>Raw_Orders!E443</x:f>
        <x:v>3</x:v>
      </x:c>
      <x:c r="L443" s="12" t="n">
        <x:f>Raw_Orders!F443</x:f>
        <x:v>0</x:v>
      </x:c>
      <x:c r="M443" s="14" t="n">
        <x:f>INDEX(Products!$D$2:$D$13,MATCH(G443,Products!$A$2:$A$13,0))</x:f>
        <x:v>180</x:v>
      </x:c>
      <x:c r="N443" s="14" t="n">
        <x:f>INDEX(Products!$E$2:$E$13,MATCH(G443,Products!$A$2:$A$13,0))</x:f>
        <x:v>104</x:v>
      </x:c>
      <x:c r="O443" s="14" t="n">
        <x:f>K443*M443</x:f>
        <x:v>540</x:v>
      </x:c>
      <x:c r="P443" s="14" t="n">
        <x:f>O443*(1-L443)</x:f>
        <x:v>540</x:v>
      </x:c>
      <x:c r="Q443" s="14" t="n">
        <x:f>K443*N443</x:f>
        <x:v>312</x:v>
      </x:c>
      <x:c r="R443" s="14" t="n">
        <x:f>P443-Q443</x:f>
        <x:v>228</x:v>
      </x:c>
      <x:c r="S443" s="16" t="n">
        <x:f>IFERROR(R443/P443,0)</x:f>
        <x:v>0.4222222222222222</x:v>
      </x:c>
    </x:row>
    <x:row r="444" ht="15" hidden="0" customHeight="1">
      <x:c r="A444" t="str">
        <x:f>Raw_Orders!A444</x:f>
        <x:v>O0443</x:v>
      </x:c>
      <x:c r="B444" s="10" t="n">
        <x:f>Raw_Orders!B444</x:f>
        <x:v>45810</x:v>
      </x:c>
      <x:c r="C444" t="str">
        <x:f>Raw_Orders!C444</x:f>
        <x:v>C073</x:v>
      </x:c>
      <x:c r="D444" t="str">
        <x:f>INDEX(Customers!$B$2:$B$81,MATCH(C444,Customers!$A$2:$A$81,0))</x:f>
        <x:v>Customer 73</x:v>
      </x:c>
      <x:c r="E444" t="str">
        <x:f>INDEX(Customers!$C$2:$C$81,MATCH(C444,Customers!$A$2:$A$81,0))</x:f>
        <x:v>Consumer</x:v>
      </x:c>
      <x:c r="F444" t="str">
        <x:f>INDEX(Customers!$D$2:$D$81,MATCH(C444,Customers!$A$2:$A$81,0))</x:f>
        <x:v>North</x:v>
      </x:c>
      <x:c r="G444" t="str">
        <x:f>Raw_Orders!D444</x:f>
        <x:v>P010</x:v>
      </x:c>
      <x:c r="H444" t="str">
        <x:f>INDEX(Products!$B$2:$B$13,MATCH(G444,Products!$A$2:$A$13,0))</x:f>
        <x:v>Portable SSD</x:v>
      </x:c>
      <x:c r="I444" t="str">
        <x:f>INDEX(Products!$C$2:$C$13,MATCH(G444,Products!$A$2:$A$13,0))</x:f>
        <x:v>Storage</x:v>
      </x:c>
      <x:c r="J444" t="str">
        <x:f>Raw_Orders!G444</x:f>
        <x:v>Retail</x:v>
      </x:c>
      <x:c r="K444" t="n">
        <x:f>Raw_Orders!E444</x:f>
        <x:v>1</x:v>
      </x:c>
      <x:c r="L444" s="12" t="n">
        <x:f>Raw_Orders!F444</x:f>
        <x:v>0</x:v>
      </x:c>
      <x:c r="M444" s="14" t="n">
        <x:f>INDEX(Products!$D$2:$D$13,MATCH(G444,Products!$A$2:$A$13,0))</x:f>
        <x:v>145</x:v>
      </x:c>
      <x:c r="N444" s="14" t="n">
        <x:f>INDEX(Products!$E$2:$E$13,MATCH(G444,Products!$A$2:$A$13,0))</x:f>
        <x:v>86</x:v>
      </x:c>
      <x:c r="O444" s="14" t="n">
        <x:f>K444*M444</x:f>
        <x:v>145</x:v>
      </x:c>
      <x:c r="P444" s="14" t="n">
        <x:f>O444*(1-L444)</x:f>
        <x:v>145</x:v>
      </x:c>
      <x:c r="Q444" s="14" t="n">
        <x:f>K444*N444</x:f>
        <x:v>86</x:v>
      </x:c>
      <x:c r="R444" s="14" t="n">
        <x:f>P444-Q444</x:f>
        <x:v>59</x:v>
      </x:c>
      <x:c r="S444" s="16" t="n">
        <x:f>IFERROR(R444/P444,0)</x:f>
        <x:v>0.4068965517241379</x:v>
      </x:c>
    </x:row>
    <x:row r="445" ht="15" hidden="0" customHeight="1">
      <x:c r="A445" t="str">
        <x:f>Raw_Orders!A445</x:f>
        <x:v>O0444</x:v>
      </x:c>
      <x:c r="B445" s="10" t="n">
        <x:f>Raw_Orders!B445</x:f>
        <x:v>45890</x:v>
      </x:c>
      <x:c r="C445" t="str">
        <x:f>Raw_Orders!C445</x:f>
        <x:v>C070</x:v>
      </x:c>
      <x:c r="D445" t="str">
        <x:f>INDEX(Customers!$B$2:$B$81,MATCH(C445,Customers!$A$2:$A$81,0))</x:f>
        <x:v>Customer 70</x:v>
      </x:c>
      <x:c r="E445" t="str">
        <x:f>INDEX(Customers!$C$2:$C$81,MATCH(C445,Customers!$A$2:$A$81,0))</x:f>
        <x:v>Consumer</x:v>
      </x:c>
      <x:c r="F445" t="str">
        <x:f>INDEX(Customers!$D$2:$D$81,MATCH(C445,Customers!$A$2:$A$81,0))</x:f>
        <x:v>South</x:v>
      </x:c>
      <x:c r="G445" t="str">
        <x:f>Raw_Orders!D445</x:f>
        <x:v>P009</x:v>
      </x:c>
      <x:c r="H445" t="str">
        <x:f>INDEX(Products!$B$2:$B$13,MATCH(G445,Products!$A$2:$A$13,0))</x:f>
        <x:v>Desk Lamp</x:v>
      </x:c>
      <x:c r="I445" t="str">
        <x:f>INDEX(Products!$C$2:$C$13,MATCH(G445,Products!$A$2:$A$13,0))</x:f>
        <x:v>Office</x:v>
      </x:c>
      <x:c r="J445" t="str">
        <x:f>Raw_Orders!G445</x:f>
        <x:v>Partner</x:v>
      </x:c>
      <x:c r="K445" t="n">
        <x:f>Raw_Orders!E445</x:f>
        <x:v>4</x:v>
      </x:c>
      <x:c r="L445" s="12" t="n">
        <x:f>Raw_Orders!F445</x:f>
        <x:v>0</x:v>
      </x:c>
      <x:c r="M445" s="14" t="n">
        <x:f>INDEX(Products!$D$2:$D$13,MATCH(G445,Products!$A$2:$A$13,0))</x:f>
        <x:v>70</x:v>
      </x:c>
      <x:c r="N445" s="14" t="n">
        <x:f>INDEX(Products!$E$2:$E$13,MATCH(G445,Products!$A$2:$A$13,0))</x:f>
        <x:v>29</x:v>
      </x:c>
      <x:c r="O445" s="14" t="n">
        <x:f>K445*M445</x:f>
        <x:v>280</x:v>
      </x:c>
      <x:c r="P445" s="14" t="n">
        <x:f>O445*(1-L445)</x:f>
        <x:v>280</x:v>
      </x:c>
      <x:c r="Q445" s="14" t="n">
        <x:f>K445*N445</x:f>
        <x:v>116</x:v>
      </x:c>
      <x:c r="R445" s="14" t="n">
        <x:f>P445-Q445</x:f>
        <x:v>164</x:v>
      </x:c>
      <x:c r="S445" s="16" t="n">
        <x:f>IFERROR(R445/P445,0)</x:f>
        <x:v>0.5857142857142857</x:v>
      </x:c>
    </x:row>
    <x:row r="446" ht="15" hidden="0" customHeight="1">
      <x:c r="A446" t="str">
        <x:f>Raw_Orders!A446</x:f>
        <x:v>O0445</x:v>
      </x:c>
      <x:c r="B446" s="10" t="n">
        <x:f>Raw_Orders!B446</x:f>
        <x:v>45897</x:v>
      </x:c>
      <x:c r="C446" t="str">
        <x:f>Raw_Orders!C446</x:f>
        <x:v>C035</x:v>
      </x:c>
      <x:c r="D446" t="str">
        <x:f>INDEX(Customers!$B$2:$B$81,MATCH(C446,Customers!$A$2:$A$81,0))</x:f>
        <x:v>Customer 35</x:v>
      </x:c>
      <x:c r="E446" t="str">
        <x:f>INDEX(Customers!$C$2:$C$81,MATCH(C446,Customers!$A$2:$A$81,0))</x:f>
        <x:v>Corporate</x:v>
      </x:c>
      <x:c r="F446" t="str">
        <x:f>INDEX(Customers!$D$2:$D$81,MATCH(C446,Customers!$A$2:$A$81,0))</x:f>
        <x:v>East</x:v>
      </x:c>
      <x:c r="G446" t="str">
        <x:f>Raw_Orders!D446</x:f>
        <x:v>P004</x:v>
      </x:c>
      <x:c r="H446" t="str">
        <x:f>INDEX(Products!$B$2:$B$13,MATCH(G446,Products!$A$2:$A$13,0))</x:f>
        <x:v>24in Monitor</x:v>
      </x:c>
      <x:c r="I446" t="str">
        <x:f>INDEX(Products!$C$2:$C$13,MATCH(G446,Products!$A$2:$A$13,0))</x:f>
        <x:v>Displays</x:v>
      </x:c>
      <x:c r="J446" t="str">
        <x:f>Raw_Orders!G446</x:f>
        <x:v>Online</x:v>
      </x:c>
      <x:c r="K446" t="n">
        <x:f>Raw_Orders!E446</x:f>
        <x:v>1</x:v>
      </x:c>
      <x:c r="L446" s="12" t="n">
        <x:f>Raw_Orders!F446</x:f>
        <x:v>0</x:v>
      </x:c>
      <x:c r="M446" s="14" t="n">
        <x:f>INDEX(Products!$D$2:$D$13,MATCH(G446,Products!$A$2:$A$13,0))</x:f>
        <x:v>220</x:v>
      </x:c>
      <x:c r="N446" s="14" t="n">
        <x:f>INDEX(Products!$E$2:$E$13,MATCH(G446,Products!$A$2:$A$13,0))</x:f>
        <x:v>142</x:v>
      </x:c>
      <x:c r="O446" s="14" t="n">
        <x:f>K446*M446</x:f>
        <x:v>220</x:v>
      </x:c>
      <x:c r="P446" s="14" t="n">
        <x:f>O446*(1-L446)</x:f>
        <x:v>220</x:v>
      </x:c>
      <x:c r="Q446" s="14" t="n">
        <x:f>K446*N446</x:f>
        <x:v>142</x:v>
      </x:c>
      <x:c r="R446" s="14" t="n">
        <x:f>P446-Q446</x:f>
        <x:v>78</x:v>
      </x:c>
      <x:c r="S446" s="16" t="n">
        <x:f>IFERROR(R446/P446,0)</x:f>
        <x:v>0.35454545454545455</x:v>
      </x:c>
    </x:row>
    <x:row r="447" ht="15" hidden="0" customHeight="1">
      <x:c r="A447" t="str">
        <x:f>Raw_Orders!A447</x:f>
        <x:v>O0446</x:v>
      </x:c>
      <x:c r="B447" s="10" t="n">
        <x:f>Raw_Orders!B447</x:f>
        <x:v>45892</x:v>
      </x:c>
      <x:c r="C447" t="str">
        <x:f>Raw_Orders!C447</x:f>
        <x:v>C033</x:v>
      </x:c>
      <x:c r="D447" t="str">
        <x:f>INDEX(Customers!$B$2:$B$81,MATCH(C447,Customers!$A$2:$A$81,0))</x:f>
        <x:v>Customer 33</x:v>
      </x:c>
      <x:c r="E447" t="str">
        <x:f>INDEX(Customers!$C$2:$C$81,MATCH(C447,Customers!$A$2:$A$81,0))</x:f>
        <x:v>Small Business</x:v>
      </x:c>
      <x:c r="F447" t="str">
        <x:f>INDEX(Customers!$D$2:$D$81,MATCH(C447,Customers!$A$2:$A$81,0))</x:f>
        <x:v>North</x:v>
      </x:c>
      <x:c r="G447" t="str">
        <x:f>Raw_Orders!D447</x:f>
        <x:v>P012</x:v>
      </x:c>
      <x:c r="H447" t="str">
        <x:f>INDEX(Products!$B$2:$B$13,MATCH(G447,Products!$A$2:$A$13,0))</x:f>
        <x:v>Docking Station</x:v>
      </x:c>
      <x:c r="I447" t="str">
        <x:f>INDEX(Products!$C$2:$C$13,MATCH(G447,Products!$A$2:$A$13,0))</x:f>
        <x:v>Accessories</x:v>
      </x:c>
      <x:c r="J447" t="str">
        <x:f>Raw_Orders!G447</x:f>
        <x:v>Partner</x:v>
      </x:c>
      <x:c r="K447" t="n">
        <x:f>Raw_Orders!E447</x:f>
        <x:v>2</x:v>
      </x:c>
      <x:c r="L447" s="12" t="n">
        <x:f>Raw_Orders!F447</x:f>
        <x:v>0</x:v>
      </x:c>
      <x:c r="M447" s="14" t="n">
        <x:f>INDEX(Products!$D$2:$D$13,MATCH(G447,Products!$A$2:$A$13,0))</x:f>
        <x:v>180</x:v>
      </x:c>
      <x:c r="N447" s="14" t="n">
        <x:f>INDEX(Products!$E$2:$E$13,MATCH(G447,Products!$A$2:$A$13,0))</x:f>
        <x:v>104</x:v>
      </x:c>
      <x:c r="O447" s="14" t="n">
        <x:f>K447*M447</x:f>
        <x:v>360</x:v>
      </x:c>
      <x:c r="P447" s="14" t="n">
        <x:f>O447*(1-L447)</x:f>
        <x:v>360</x:v>
      </x:c>
      <x:c r="Q447" s="14" t="n">
        <x:f>K447*N447</x:f>
        <x:v>208</x:v>
      </x:c>
      <x:c r="R447" s="14" t="n">
        <x:f>P447-Q447</x:f>
        <x:v>152</x:v>
      </x:c>
      <x:c r="S447" s="16" t="n">
        <x:f>IFERROR(R447/P447,0)</x:f>
        <x:v>0.4222222222222222</x:v>
      </x:c>
    </x:row>
    <x:row r="448" ht="15" hidden="0" customHeight="1">
      <x:c r="A448" t="str">
        <x:f>Raw_Orders!A448</x:f>
        <x:v>O0447</x:v>
      </x:c>
      <x:c r="B448" s="10" t="n">
        <x:f>Raw_Orders!B448</x:f>
        <x:v>45830</x:v>
      </x:c>
      <x:c r="C448" t="str">
        <x:f>Raw_Orders!C448</x:f>
        <x:v>C038</x:v>
      </x:c>
      <x:c r="D448" t="str">
        <x:f>INDEX(Customers!$B$2:$B$81,MATCH(C448,Customers!$A$2:$A$81,0))</x:f>
        <x:v>Customer 38</x:v>
      </x:c>
      <x:c r="E448" t="str">
        <x:f>INDEX(Customers!$C$2:$C$81,MATCH(C448,Customers!$A$2:$A$81,0))</x:f>
        <x:v>Corporate</x:v>
      </x:c>
      <x:c r="F448" t="str">
        <x:f>INDEX(Customers!$D$2:$D$81,MATCH(C448,Customers!$A$2:$A$81,0))</x:f>
        <x:v>South</x:v>
      </x:c>
      <x:c r="G448" t="str">
        <x:f>Raw_Orders!D448</x:f>
        <x:v>P010</x:v>
      </x:c>
      <x:c r="H448" t="str">
        <x:f>INDEX(Products!$B$2:$B$13,MATCH(G448,Products!$A$2:$A$13,0))</x:f>
        <x:v>Portable SSD</x:v>
      </x:c>
      <x:c r="I448" t="str">
        <x:f>INDEX(Products!$C$2:$C$13,MATCH(G448,Products!$A$2:$A$13,0))</x:f>
        <x:v>Storage</x:v>
      </x:c>
      <x:c r="J448" t="str">
        <x:f>Raw_Orders!G448</x:f>
        <x:v>Online</x:v>
      </x:c>
      <x:c r="K448" t="n">
        <x:f>Raw_Orders!E448</x:f>
        <x:v>6</x:v>
      </x:c>
      <x:c r="L448" s="12" t="n">
        <x:f>Raw_Orders!F448</x:f>
        <x:v>0</x:v>
      </x:c>
      <x:c r="M448" s="14" t="n">
        <x:f>INDEX(Products!$D$2:$D$13,MATCH(G448,Products!$A$2:$A$13,0))</x:f>
        <x:v>145</x:v>
      </x:c>
      <x:c r="N448" s="14" t="n">
        <x:f>INDEX(Products!$E$2:$E$13,MATCH(G448,Products!$A$2:$A$13,0))</x:f>
        <x:v>86</x:v>
      </x:c>
      <x:c r="O448" s="14" t="n">
        <x:f>K448*M448</x:f>
        <x:v>870</x:v>
      </x:c>
      <x:c r="P448" s="14" t="n">
        <x:f>O448*(1-L448)</x:f>
        <x:v>870</x:v>
      </x:c>
      <x:c r="Q448" s="14" t="n">
        <x:f>K448*N448</x:f>
        <x:v>516</x:v>
      </x:c>
      <x:c r="R448" s="14" t="n">
        <x:f>P448-Q448</x:f>
        <x:v>354</x:v>
      </x:c>
      <x:c r="S448" s="16" t="n">
        <x:f>IFERROR(R448/P448,0)</x:f>
        <x:v>0.4068965517241379</x:v>
      </x:c>
    </x:row>
    <x:row r="449" ht="15" hidden="0" customHeight="1">
      <x:c r="A449" t="str">
        <x:f>Raw_Orders!A449</x:f>
        <x:v>O0448</x:v>
      </x:c>
      <x:c r="B449" s="10" t="n">
        <x:f>Raw_Orders!B449</x:f>
        <x:v>45970</x:v>
      </x:c>
      <x:c r="C449" t="str">
        <x:f>Raw_Orders!C449</x:f>
        <x:v>C052</x:v>
      </x:c>
      <x:c r="D449" t="str">
        <x:f>INDEX(Customers!$B$2:$B$81,MATCH(C449,Customers!$A$2:$A$81,0))</x:f>
        <x:v>Customer 52</x:v>
      </x:c>
      <x:c r="E449" t="str">
        <x:f>INDEX(Customers!$C$2:$C$81,MATCH(C449,Customers!$A$2:$A$81,0))</x:f>
        <x:v>Consumer</x:v>
      </x:c>
      <x:c r="F449" t="str">
        <x:f>INDEX(Customers!$D$2:$D$81,MATCH(C449,Customers!$A$2:$A$81,0))</x:f>
        <x:v>West</x:v>
      </x:c>
      <x:c r="G449" t="str">
        <x:f>Raw_Orders!D449</x:f>
        <x:v>P007</x:v>
      </x:c>
      <x:c r="H449" t="str">
        <x:f>INDEX(Products!$B$2:$B$13,MATCH(G449,Products!$A$2:$A$13,0))</x:f>
        <x:v>Ergonomic Chair</x:v>
      </x:c>
      <x:c r="I449" t="str">
        <x:f>INDEX(Products!$C$2:$C$13,MATCH(G449,Products!$A$2:$A$13,0))</x:f>
        <x:v>Office</x:v>
      </x:c>
      <x:c r="J449" t="str">
        <x:f>Raw_Orders!G449</x:f>
        <x:v>Online</x:v>
      </x:c>
      <x:c r="K449" t="n">
        <x:f>Raw_Orders!E449</x:f>
        <x:v>5</x:v>
      </x:c>
      <x:c r="L449" s="12" t="n">
        <x:f>Raw_Orders!F449</x:f>
        <x:v>0</x:v>
      </x:c>
      <x:c r="M449" s="14" t="n">
        <x:f>INDEX(Products!$D$2:$D$13,MATCH(G449,Products!$A$2:$A$13,0))</x:f>
        <x:v>390</x:v>
      </x:c>
      <x:c r="N449" s="14" t="n">
        <x:f>INDEX(Products!$E$2:$E$13,MATCH(G449,Products!$A$2:$A$13,0))</x:f>
        <x:v>245</x:v>
      </x:c>
      <x:c r="O449" s="14" t="n">
        <x:f>K449*M449</x:f>
        <x:v>1950</x:v>
      </x:c>
      <x:c r="P449" s="14" t="n">
        <x:f>O449*(1-L449)</x:f>
        <x:v>1950</x:v>
      </x:c>
      <x:c r="Q449" s="14" t="n">
        <x:f>K449*N449</x:f>
        <x:v>1225</x:v>
      </x:c>
      <x:c r="R449" s="14" t="n">
        <x:f>P449-Q449</x:f>
        <x:v>725</x:v>
      </x:c>
      <x:c r="S449" s="16" t="n">
        <x:f>IFERROR(R449/P449,0)</x:f>
        <x:v>0.3717948717948718</x:v>
      </x:c>
    </x:row>
    <x:row r="450" ht="15" hidden="0" customHeight="1">
      <x:c r="A450" t="str">
        <x:f>Raw_Orders!A450</x:f>
        <x:v>O0449</x:v>
      </x:c>
      <x:c r="B450" s="10" t="n">
        <x:f>Raw_Orders!B450</x:f>
        <x:v>45863</x:v>
      </x:c>
      <x:c r="C450" t="str">
        <x:f>Raw_Orders!C450</x:f>
        <x:v>C013</x:v>
      </x:c>
      <x:c r="D450" t="str">
        <x:f>INDEX(Customers!$B$2:$B$81,MATCH(C450,Customers!$A$2:$A$81,0))</x:f>
        <x:v>Customer 13</x:v>
      </x:c>
      <x:c r="E450" t="str">
        <x:f>INDEX(Customers!$C$2:$C$81,MATCH(C450,Customers!$A$2:$A$81,0))</x:f>
        <x:v>Consumer</x:v>
      </x:c>
      <x:c r="F450" t="str">
        <x:f>INDEX(Customers!$D$2:$D$81,MATCH(C450,Customers!$A$2:$A$81,0))</x:f>
        <x:v>North</x:v>
      </x:c>
      <x:c r="G450" t="str">
        <x:f>Raw_Orders!D450</x:f>
        <x:v>P003</x:v>
      </x:c>
      <x:c r="H450" t="str">
        <x:f>INDEX(Products!$B$2:$B$13,MATCH(G450,Products!$A$2:$A$13,0))</x:f>
        <x:v>USB-C Hub</x:v>
      </x:c>
      <x:c r="I450" t="str">
        <x:f>INDEX(Products!$C$2:$C$13,MATCH(G450,Products!$A$2:$A$13,0))</x:f>
        <x:v>Accessories</x:v>
      </x:c>
      <x:c r="J450" t="str">
        <x:f>Raw_Orders!G450</x:f>
        <x:v>Retail</x:v>
      </x:c>
      <x:c r="K450" t="n">
        <x:f>Raw_Orders!E450</x:f>
        <x:v>2</x:v>
      </x:c>
      <x:c r="L450" s="12" t="n">
        <x:f>Raw_Orders!F450</x:f>
        <x:v>0.05</x:v>
      </x:c>
      <x:c r="M450" s="14" t="n">
        <x:f>INDEX(Products!$D$2:$D$13,MATCH(G450,Products!$A$2:$A$13,0))</x:f>
        <x:v>65</x:v>
      </x:c>
      <x:c r="N450" s="14" t="n">
        <x:f>INDEX(Products!$E$2:$E$13,MATCH(G450,Products!$A$2:$A$13,0))</x:f>
        <x:v>31</x:v>
      </x:c>
      <x:c r="O450" s="14" t="n">
        <x:f>K450*M450</x:f>
        <x:v>130</x:v>
      </x:c>
      <x:c r="P450" s="14" t="n">
        <x:f>O450*(1-L450)</x:f>
        <x:v>123.5</x:v>
      </x:c>
      <x:c r="Q450" s="14" t="n">
        <x:f>K450*N450</x:f>
        <x:v>62</x:v>
      </x:c>
      <x:c r="R450" s="14" t="n">
        <x:f>P450-Q450</x:f>
        <x:v>61.5</x:v>
      </x:c>
      <x:c r="S450" s="16" t="n">
        <x:f>IFERROR(R450/P450,0)</x:f>
        <x:v>0.4979757085020243</x:v>
      </x:c>
    </x:row>
    <x:row r="451" ht="15" hidden="0" customHeight="1">
      <x:c r="A451" t="str">
        <x:f>Raw_Orders!A451</x:f>
        <x:v>O0450</x:v>
      </x:c>
      <x:c r="B451" s="10" t="n">
        <x:f>Raw_Orders!B451</x:f>
        <x:v>45785</x:v>
      </x:c>
      <x:c r="C451" t="str">
        <x:f>Raw_Orders!C451</x:f>
        <x:v>C001</x:v>
      </x:c>
      <x:c r="D451" t="str">
        <x:f>INDEX(Customers!$B$2:$B$81,MATCH(C451,Customers!$A$2:$A$81,0))</x:f>
        <x:v>Customer 01</x:v>
      </x:c>
      <x:c r="E451" t="str">
        <x:f>INDEX(Customers!$C$2:$C$81,MATCH(C451,Customers!$A$2:$A$81,0))</x:f>
        <x:v>Consumer</x:v>
      </x:c>
      <x:c r="F451" t="str">
        <x:f>INDEX(Customers!$D$2:$D$81,MATCH(C451,Customers!$A$2:$A$81,0))</x:f>
        <x:v>North</x:v>
      </x:c>
      <x:c r="G451" t="str">
        <x:f>Raw_Orders!D451</x:f>
        <x:v>P005</x:v>
      </x:c>
      <x:c r="H451" t="str">
        <x:f>INDEX(Products!$B$2:$B$13,MATCH(G451,Products!$A$2:$A$13,0))</x:f>
        <x:v>27in Monitor</x:v>
      </x:c>
      <x:c r="I451" t="str">
        <x:f>INDEX(Products!$C$2:$C$13,MATCH(G451,Products!$A$2:$A$13,0))</x:f>
        <x:v>Displays</x:v>
      </x:c>
      <x:c r="J451" t="str">
        <x:f>Raw_Orders!G451</x:f>
        <x:v>Retail</x:v>
      </x:c>
      <x:c r="K451" t="n">
        <x:f>Raw_Orders!E451</x:f>
        <x:v>4</x:v>
      </x:c>
      <x:c r="L451" s="12" t="n">
        <x:f>Raw_Orders!F451</x:f>
        <x:v>0</x:v>
      </x:c>
      <x:c r="M451" s="14" t="n">
        <x:f>INDEX(Products!$D$2:$D$13,MATCH(G451,Products!$A$2:$A$13,0))</x:f>
        <x:v>310</x:v>
      </x:c>
      <x:c r="N451" s="14" t="n">
        <x:f>INDEX(Products!$E$2:$E$13,MATCH(G451,Products!$A$2:$A$13,0))</x:f>
        <x:v>205</x:v>
      </x:c>
      <x:c r="O451" s="14" t="n">
        <x:f>K451*M451</x:f>
        <x:v>1240</x:v>
      </x:c>
      <x:c r="P451" s="14" t="n">
        <x:f>O451*(1-L451)</x:f>
        <x:v>1240</x:v>
      </x:c>
      <x:c r="Q451" s="14" t="n">
        <x:f>K451*N451</x:f>
        <x:v>820</x:v>
      </x:c>
      <x:c r="R451" s="14" t="n">
        <x:f>P451-Q451</x:f>
        <x:v>420</x:v>
      </x:c>
      <x:c r="S451" s="16" t="n">
        <x:f>IFERROR(R451/P451,0)</x:f>
        <x:v>0.3387096774193548</x:v>
      </x:c>
    </x:row>
    <x:row r="452" ht="15" hidden="0" customHeight="1">
      <x:c r="A452" t="str">
        <x:f>Raw_Orders!A452</x:f>
        <x:v>O0451</x:v>
      </x:c>
      <x:c r="B452" s="10" t="n">
        <x:f>Raw_Orders!B452</x:f>
        <x:v>45794</x:v>
      </x:c>
      <x:c r="C452" t="str">
        <x:f>Raw_Orders!C452</x:f>
        <x:v>C043</x:v>
      </x:c>
      <x:c r="D452" t="str">
        <x:f>INDEX(Customers!$B$2:$B$81,MATCH(C452,Customers!$A$2:$A$81,0))</x:f>
        <x:v>Customer 43</x:v>
      </x:c>
      <x:c r="E452" t="str">
        <x:f>INDEX(Customers!$C$2:$C$81,MATCH(C452,Customers!$A$2:$A$81,0))</x:f>
        <x:v>Consumer</x:v>
      </x:c>
      <x:c r="F452" t="str">
        <x:f>INDEX(Customers!$D$2:$D$81,MATCH(C452,Customers!$A$2:$A$81,0))</x:f>
        <x:v>East</x:v>
      </x:c>
      <x:c r="G452" t="str">
        <x:f>Raw_Orders!D452</x:f>
        <x:v>P005</x:v>
      </x:c>
      <x:c r="H452" t="str">
        <x:f>INDEX(Products!$B$2:$B$13,MATCH(G452,Products!$A$2:$A$13,0))</x:f>
        <x:v>27in Monitor</x:v>
      </x:c>
      <x:c r="I452" t="str">
        <x:f>INDEX(Products!$C$2:$C$13,MATCH(G452,Products!$A$2:$A$13,0))</x:f>
        <x:v>Displays</x:v>
      </x:c>
      <x:c r="J452" t="str">
        <x:f>Raw_Orders!G452</x:f>
        <x:v>Partner</x:v>
      </x:c>
      <x:c r="K452" t="n">
        <x:f>Raw_Orders!E452</x:f>
        <x:v>5</x:v>
      </x:c>
      <x:c r="L452" s="12" t="n">
        <x:f>Raw_Orders!F452</x:f>
        <x:v>0.15</x:v>
      </x:c>
      <x:c r="M452" s="14" t="n">
        <x:f>INDEX(Products!$D$2:$D$13,MATCH(G452,Products!$A$2:$A$13,0))</x:f>
        <x:v>310</x:v>
      </x:c>
      <x:c r="N452" s="14" t="n">
        <x:f>INDEX(Products!$E$2:$E$13,MATCH(G452,Products!$A$2:$A$13,0))</x:f>
        <x:v>205</x:v>
      </x:c>
      <x:c r="O452" s="14" t="n">
        <x:f>K452*M452</x:f>
        <x:v>1550</x:v>
      </x:c>
      <x:c r="P452" s="14" t="n">
        <x:f>O452*(1-L452)</x:f>
        <x:v>1317.5</x:v>
      </x:c>
      <x:c r="Q452" s="14" t="n">
        <x:f>K452*N452</x:f>
        <x:v>1025</x:v>
      </x:c>
      <x:c r="R452" s="14" t="n">
        <x:f>P452-Q452</x:f>
        <x:v>292.5</x:v>
      </x:c>
      <x:c r="S452" s="16" t="n">
        <x:f>IFERROR(R452/P452,0)</x:f>
        <x:v>0.222011385199241</x:v>
      </x:c>
    </x:row>
    <x:row r="453" ht="15" hidden="0" customHeight="1">
      <x:c r="A453" t="str">
        <x:f>Raw_Orders!A453</x:f>
        <x:v>O0452</x:v>
      </x:c>
      <x:c r="B453" s="10" t="n">
        <x:f>Raw_Orders!B453</x:f>
        <x:v>45663</x:v>
      </x:c>
      <x:c r="C453" t="str">
        <x:f>Raw_Orders!C453</x:f>
        <x:v>C034</x:v>
      </x:c>
      <x:c r="D453" t="str">
        <x:f>INDEX(Customers!$B$2:$B$81,MATCH(C453,Customers!$A$2:$A$81,0))</x:f>
        <x:v>Customer 34</x:v>
      </x:c>
      <x:c r="E453" t="str">
        <x:f>INDEX(Customers!$C$2:$C$81,MATCH(C453,Customers!$A$2:$A$81,0))</x:f>
        <x:v>Consumer</x:v>
      </x:c>
      <x:c r="F453" t="str">
        <x:f>INDEX(Customers!$D$2:$D$81,MATCH(C453,Customers!$A$2:$A$81,0))</x:f>
        <x:v>South</x:v>
      </x:c>
      <x:c r="G453" t="str">
        <x:f>Raw_Orders!D453</x:f>
        <x:v>P011</x:v>
      </x:c>
      <x:c r="H453" t="str">
        <x:f>INDEX(Products!$B$2:$B$13,MATCH(G453,Products!$A$2:$A$13,0))</x:f>
        <x:v>External HDD</x:v>
      </x:c>
      <x:c r="I453" t="str">
        <x:f>INDEX(Products!$C$2:$C$13,MATCH(G453,Products!$A$2:$A$13,0))</x:f>
        <x:v>Storage</x:v>
      </x:c>
      <x:c r="J453" t="str">
        <x:f>Raw_Orders!G453</x:f>
        <x:v>Online</x:v>
      </x:c>
      <x:c r="K453" t="n">
        <x:f>Raw_Orders!E453</x:f>
        <x:v>3</x:v>
      </x:c>
      <x:c r="L453" s="12" t="n">
        <x:f>Raw_Orders!F453</x:f>
        <x:v>0.15</x:v>
      </x:c>
      <x:c r="M453" s="14" t="n">
        <x:f>INDEX(Products!$D$2:$D$13,MATCH(G453,Products!$A$2:$A$13,0))</x:f>
        <x:v>120</x:v>
      </x:c>
      <x:c r="N453" s="14" t="n">
        <x:f>INDEX(Products!$E$2:$E$13,MATCH(G453,Products!$A$2:$A$13,0))</x:f>
        <x:v>72</x:v>
      </x:c>
      <x:c r="O453" s="14" t="n">
        <x:f>K453*M453</x:f>
        <x:v>360</x:v>
      </x:c>
      <x:c r="P453" s="14" t="n">
        <x:f>O453*(1-L453)</x:f>
        <x:v>306</x:v>
      </x:c>
      <x:c r="Q453" s="14" t="n">
        <x:f>K453*N453</x:f>
        <x:v>216</x:v>
      </x:c>
      <x:c r="R453" s="14" t="n">
        <x:f>P453-Q453</x:f>
        <x:v>90</x:v>
      </x:c>
      <x:c r="S453" s="16" t="n">
        <x:f>IFERROR(R453/P453,0)</x:f>
        <x:v>0.29411764705882354</x:v>
      </x:c>
    </x:row>
    <x:row r="454" ht="15" hidden="0" customHeight="1">
      <x:c r="A454" t="str">
        <x:f>Raw_Orders!A454</x:f>
        <x:v>O0453</x:v>
      </x:c>
      <x:c r="B454" s="10" t="n">
        <x:f>Raw_Orders!B454</x:f>
        <x:v>45689</x:v>
      </x:c>
      <x:c r="C454" t="str">
        <x:f>Raw_Orders!C454</x:f>
        <x:v>C016</x:v>
      </x:c>
      <x:c r="D454" t="str">
        <x:f>INDEX(Customers!$B$2:$B$81,MATCH(C454,Customers!$A$2:$A$81,0))</x:f>
        <x:v>Customer 16</x:v>
      </x:c>
      <x:c r="E454" t="str">
        <x:f>INDEX(Customers!$C$2:$C$81,MATCH(C454,Customers!$A$2:$A$81,0))</x:f>
        <x:v>Consumer</x:v>
      </x:c>
      <x:c r="F454" t="str">
        <x:f>INDEX(Customers!$D$2:$D$81,MATCH(C454,Customers!$A$2:$A$81,0))</x:f>
        <x:v>West</x:v>
      </x:c>
      <x:c r="G454" t="str">
        <x:f>Raw_Orders!D454</x:f>
        <x:v>P008</x:v>
      </x:c>
      <x:c r="H454" t="str">
        <x:f>INDEX(Products!$B$2:$B$13,MATCH(G454,Products!$A$2:$A$13,0))</x:f>
        <x:v>Webcam</x:v>
      </x:c>
      <x:c r="I454" t="str">
        <x:f>INDEX(Products!$C$2:$C$13,MATCH(G454,Products!$A$2:$A$13,0))</x:f>
        <x:v>Accessories</x:v>
      </x:c>
      <x:c r="J454" t="str">
        <x:f>Raw_Orders!G454</x:f>
        <x:v>Retail</x:v>
      </x:c>
      <x:c r="K454" t="n">
        <x:f>Raw_Orders!E454</x:f>
        <x:v>3</x:v>
      </x:c>
      <x:c r="L454" s="12" t="n">
        <x:f>Raw_Orders!F454</x:f>
        <x:v>0</x:v>
      </x:c>
      <x:c r="M454" s="14" t="n">
        <x:f>INDEX(Products!$D$2:$D$13,MATCH(G454,Products!$A$2:$A$13,0))</x:f>
        <x:v>95</x:v>
      </x:c>
      <x:c r="N454" s="14" t="n">
        <x:f>INDEX(Products!$E$2:$E$13,MATCH(G454,Products!$A$2:$A$13,0))</x:f>
        <x:v>49</x:v>
      </x:c>
      <x:c r="O454" s="14" t="n">
        <x:f>K454*M454</x:f>
        <x:v>285</x:v>
      </x:c>
      <x:c r="P454" s="14" t="n">
        <x:f>O454*(1-L454)</x:f>
        <x:v>285</x:v>
      </x:c>
      <x:c r="Q454" s="14" t="n">
        <x:f>K454*N454</x:f>
        <x:v>147</x:v>
      </x:c>
      <x:c r="R454" s="14" t="n">
        <x:f>P454-Q454</x:f>
        <x:v>138</x:v>
      </x:c>
      <x:c r="S454" s="16" t="n">
        <x:f>IFERROR(R454/P454,0)</x:f>
        <x:v>0.4842105263157895</x:v>
      </x:c>
    </x:row>
    <x:row r="455" ht="15" hidden="0" customHeight="1">
      <x:c r="A455" t="str">
        <x:f>Raw_Orders!A455</x:f>
        <x:v>O0454</x:v>
      </x:c>
      <x:c r="B455" s="10" t="n">
        <x:f>Raw_Orders!B455</x:f>
        <x:v>46009</x:v>
      </x:c>
      <x:c r="C455" t="str">
        <x:f>Raw_Orders!C455</x:f>
        <x:v>C065</x:v>
      </x:c>
      <x:c r="D455" t="str">
        <x:f>INDEX(Customers!$B$2:$B$81,MATCH(C455,Customers!$A$2:$A$81,0))</x:f>
        <x:v>Customer 65</x:v>
      </x:c>
      <x:c r="E455" t="str">
        <x:f>INDEX(Customers!$C$2:$C$81,MATCH(C455,Customers!$A$2:$A$81,0))</x:f>
        <x:v>Corporate</x:v>
      </x:c>
      <x:c r="F455" t="str">
        <x:f>INDEX(Customers!$D$2:$D$81,MATCH(C455,Customers!$A$2:$A$81,0))</x:f>
        <x:v>North</x:v>
      </x:c>
      <x:c r="G455" t="str">
        <x:f>Raw_Orders!D455</x:f>
        <x:v>P012</x:v>
      </x:c>
      <x:c r="H455" t="str">
        <x:f>INDEX(Products!$B$2:$B$13,MATCH(G455,Products!$A$2:$A$13,0))</x:f>
        <x:v>Docking Station</x:v>
      </x:c>
      <x:c r="I455" t="str">
        <x:f>INDEX(Products!$C$2:$C$13,MATCH(G455,Products!$A$2:$A$13,0))</x:f>
        <x:v>Accessories</x:v>
      </x:c>
      <x:c r="J455" t="str">
        <x:f>Raw_Orders!G455</x:f>
        <x:v>Online</x:v>
      </x:c>
      <x:c r="K455" t="n">
        <x:f>Raw_Orders!E455</x:f>
        <x:v>3</x:v>
      </x:c>
      <x:c r="L455" s="12" t="n">
        <x:f>Raw_Orders!F455</x:f>
        <x:v>0.15</x:v>
      </x:c>
      <x:c r="M455" s="14" t="n">
        <x:f>INDEX(Products!$D$2:$D$13,MATCH(G455,Products!$A$2:$A$13,0))</x:f>
        <x:v>180</x:v>
      </x:c>
      <x:c r="N455" s="14" t="n">
        <x:f>INDEX(Products!$E$2:$E$13,MATCH(G455,Products!$A$2:$A$13,0))</x:f>
        <x:v>104</x:v>
      </x:c>
      <x:c r="O455" s="14" t="n">
        <x:f>K455*M455</x:f>
        <x:v>540</x:v>
      </x:c>
      <x:c r="P455" s="14" t="n">
        <x:f>O455*(1-L455)</x:f>
        <x:v>459</x:v>
      </x:c>
      <x:c r="Q455" s="14" t="n">
        <x:f>K455*N455</x:f>
        <x:v>312</x:v>
      </x:c>
      <x:c r="R455" s="14" t="n">
        <x:f>P455-Q455</x:f>
        <x:v>147</x:v>
      </x:c>
      <x:c r="S455" s="16" t="n">
        <x:f>IFERROR(R455/P455,0)</x:f>
        <x:v>0.3202614379084967</x:v>
      </x:c>
    </x:row>
    <x:row r="456" ht="15" hidden="0" customHeight="1">
      <x:c r="A456" t="str">
        <x:f>Raw_Orders!A456</x:f>
        <x:v>O0455</x:v>
      </x:c>
      <x:c r="B456" s="10" t="n">
        <x:f>Raw_Orders!B456</x:f>
        <x:v>45985</x:v>
      </x:c>
      <x:c r="C456" t="str">
        <x:f>Raw_Orders!C456</x:f>
        <x:v>C038</x:v>
      </x:c>
      <x:c r="D456" t="str">
        <x:f>INDEX(Customers!$B$2:$B$81,MATCH(C456,Customers!$A$2:$A$81,0))</x:f>
        <x:v>Customer 38</x:v>
      </x:c>
      <x:c r="E456" t="str">
        <x:f>INDEX(Customers!$C$2:$C$81,MATCH(C456,Customers!$A$2:$A$81,0))</x:f>
        <x:v>Corporate</x:v>
      </x:c>
      <x:c r="F456" t="str">
        <x:f>INDEX(Customers!$D$2:$D$81,MATCH(C456,Customers!$A$2:$A$81,0))</x:f>
        <x:v>South</x:v>
      </x:c>
      <x:c r="G456" t="str">
        <x:f>Raw_Orders!D456</x:f>
        <x:v>P006</x:v>
      </x:c>
      <x:c r="H456" t="str">
        <x:f>INDEX(Products!$B$2:$B$13,MATCH(G456,Products!$A$2:$A$13,0))</x:f>
        <x:v>Laptop Stand</x:v>
      </x:c>
      <x:c r="I456" t="str">
        <x:f>INDEX(Products!$C$2:$C$13,MATCH(G456,Products!$A$2:$A$13,0))</x:f>
        <x:v>Office</x:v>
      </x:c>
      <x:c r="J456" t="str">
        <x:f>Raw_Orders!G456</x:f>
        <x:v>Online</x:v>
      </x:c>
      <x:c r="K456" t="n">
        <x:f>Raw_Orders!E456</x:f>
        <x:v>5</x:v>
      </x:c>
      <x:c r="L456" s="12" t="n">
        <x:f>Raw_Orders!F456</x:f>
        <x:v>0</x:v>
      </x:c>
      <x:c r="M456" s="14" t="n">
        <x:f>INDEX(Products!$D$2:$D$13,MATCH(G456,Products!$A$2:$A$13,0))</x:f>
        <x:v>55</x:v>
      </x:c>
      <x:c r="N456" s="14" t="n">
        <x:f>INDEX(Products!$E$2:$E$13,MATCH(G456,Products!$A$2:$A$13,0))</x:f>
        <x:v>24</x:v>
      </x:c>
      <x:c r="O456" s="14" t="n">
        <x:f>K456*M456</x:f>
        <x:v>275</x:v>
      </x:c>
      <x:c r="P456" s="14" t="n">
        <x:f>O456*(1-L456)</x:f>
        <x:v>275</x:v>
      </x:c>
      <x:c r="Q456" s="14" t="n">
        <x:f>K456*N456</x:f>
        <x:v>120</x:v>
      </x:c>
      <x:c r="R456" s="14" t="n">
        <x:f>P456-Q456</x:f>
        <x:v>155</x:v>
      </x:c>
      <x:c r="S456" s="16" t="n">
        <x:f>IFERROR(R456/P456,0)</x:f>
        <x:v>0.5636363636363636</x:v>
      </x:c>
    </x:row>
    <x:row r="457" ht="15" hidden="0" customHeight="1">
      <x:c r="A457" t="str">
        <x:f>Raw_Orders!A457</x:f>
        <x:v>O0456</x:v>
      </x:c>
      <x:c r="B457" s="10" t="n">
        <x:f>Raw_Orders!B457</x:f>
        <x:v>45726</x:v>
      </x:c>
      <x:c r="C457" t="str">
        <x:f>Raw_Orders!C457</x:f>
        <x:v>C062</x:v>
      </x:c>
      <x:c r="D457" t="str">
        <x:f>INDEX(Customers!$B$2:$B$81,MATCH(C457,Customers!$A$2:$A$81,0))</x:f>
        <x:v>Customer 62</x:v>
      </x:c>
      <x:c r="E457" t="str">
        <x:f>INDEX(Customers!$C$2:$C$81,MATCH(C457,Customers!$A$2:$A$81,0))</x:f>
        <x:v>Corporate</x:v>
      </x:c>
      <x:c r="F457" t="str">
        <x:f>INDEX(Customers!$D$2:$D$81,MATCH(C457,Customers!$A$2:$A$81,0))</x:f>
        <x:v>South</x:v>
      </x:c>
      <x:c r="G457" t="str">
        <x:f>Raw_Orders!D457</x:f>
        <x:v>P003</x:v>
      </x:c>
      <x:c r="H457" t="str">
        <x:f>INDEX(Products!$B$2:$B$13,MATCH(G457,Products!$A$2:$A$13,0))</x:f>
        <x:v>USB-C Hub</x:v>
      </x:c>
      <x:c r="I457" t="str">
        <x:f>INDEX(Products!$C$2:$C$13,MATCH(G457,Products!$A$2:$A$13,0))</x:f>
        <x:v>Accessories</x:v>
      </x:c>
      <x:c r="J457" t="str">
        <x:f>Raw_Orders!G457</x:f>
        <x:v>Partner</x:v>
      </x:c>
      <x:c r="K457" t="n">
        <x:f>Raw_Orders!E457</x:f>
        <x:v>4</x:v>
      </x:c>
      <x:c r="L457" s="12" t="n">
        <x:f>Raw_Orders!F457</x:f>
        <x:v>0.15</x:v>
      </x:c>
      <x:c r="M457" s="14" t="n">
        <x:f>INDEX(Products!$D$2:$D$13,MATCH(G457,Products!$A$2:$A$13,0))</x:f>
        <x:v>65</x:v>
      </x:c>
      <x:c r="N457" s="14" t="n">
        <x:f>INDEX(Products!$E$2:$E$13,MATCH(G457,Products!$A$2:$A$13,0))</x:f>
        <x:v>31</x:v>
      </x:c>
      <x:c r="O457" s="14" t="n">
        <x:f>K457*M457</x:f>
        <x:v>260</x:v>
      </x:c>
      <x:c r="P457" s="14" t="n">
        <x:f>O457*(1-L457)</x:f>
        <x:v>221</x:v>
      </x:c>
      <x:c r="Q457" s="14" t="n">
        <x:f>K457*N457</x:f>
        <x:v>124</x:v>
      </x:c>
      <x:c r="R457" s="14" t="n">
        <x:f>P457-Q457</x:f>
        <x:v>97</x:v>
      </x:c>
      <x:c r="S457" s="16" t="n">
        <x:f>IFERROR(R457/P457,0)</x:f>
        <x:v>0.43891402714932126</x:v>
      </x:c>
    </x:row>
    <x:row r="458" ht="15" hidden="0" customHeight="1">
      <x:c r="A458" t="str">
        <x:f>Raw_Orders!A458</x:f>
        <x:v>O0457</x:v>
      </x:c>
      <x:c r="B458" s="10" t="n">
        <x:f>Raw_Orders!B458</x:f>
        <x:v>45849</x:v>
      </x:c>
      <x:c r="C458" t="str">
        <x:f>Raw_Orders!C458</x:f>
        <x:v>C054</x:v>
      </x:c>
      <x:c r="D458" t="str">
        <x:f>INDEX(Customers!$B$2:$B$81,MATCH(C458,Customers!$A$2:$A$81,0))</x:f>
        <x:v>Customer 54</x:v>
      </x:c>
      <x:c r="E458" t="str">
        <x:f>INDEX(Customers!$C$2:$C$81,MATCH(C458,Customers!$A$2:$A$81,0))</x:f>
        <x:v>Small Business</x:v>
      </x:c>
      <x:c r="F458" t="str">
        <x:f>INDEX(Customers!$D$2:$D$81,MATCH(C458,Customers!$A$2:$A$81,0))</x:f>
        <x:v>South</x:v>
      </x:c>
      <x:c r="G458" t="str">
        <x:f>Raw_Orders!D458</x:f>
        <x:v>P012</x:v>
      </x:c>
      <x:c r="H458" t="str">
        <x:f>INDEX(Products!$B$2:$B$13,MATCH(G458,Products!$A$2:$A$13,0))</x:f>
        <x:v>Docking Station</x:v>
      </x:c>
      <x:c r="I458" t="str">
        <x:f>INDEX(Products!$C$2:$C$13,MATCH(G458,Products!$A$2:$A$13,0))</x:f>
        <x:v>Accessories</x:v>
      </x:c>
      <x:c r="J458" t="str">
        <x:f>Raw_Orders!G458</x:f>
        <x:v>Partner</x:v>
      </x:c>
      <x:c r="K458" t="n">
        <x:f>Raw_Orders!E458</x:f>
        <x:v>5</x:v>
      </x:c>
      <x:c r="L458" s="12" t="n">
        <x:f>Raw_Orders!F458</x:f>
        <x:v>0.05</x:v>
      </x:c>
      <x:c r="M458" s="14" t="n">
        <x:f>INDEX(Products!$D$2:$D$13,MATCH(G458,Products!$A$2:$A$13,0))</x:f>
        <x:v>180</x:v>
      </x:c>
      <x:c r="N458" s="14" t="n">
        <x:f>INDEX(Products!$E$2:$E$13,MATCH(G458,Products!$A$2:$A$13,0))</x:f>
        <x:v>104</x:v>
      </x:c>
      <x:c r="O458" s="14" t="n">
        <x:f>K458*M458</x:f>
        <x:v>900</x:v>
      </x:c>
      <x:c r="P458" s="14" t="n">
        <x:f>O458*(1-L458)</x:f>
        <x:v>855</x:v>
      </x:c>
      <x:c r="Q458" s="14" t="n">
        <x:f>K458*N458</x:f>
        <x:v>520</x:v>
      </x:c>
      <x:c r="R458" s="14" t="n">
        <x:f>P458-Q458</x:f>
        <x:v>335</x:v>
      </x:c>
      <x:c r="S458" s="16" t="n">
        <x:f>IFERROR(R458/P458,0)</x:f>
        <x:v>0.391812865497076</x:v>
      </x:c>
    </x:row>
    <x:row r="459" ht="15" hidden="0" customHeight="1">
      <x:c r="A459" t="str">
        <x:f>Raw_Orders!A459</x:f>
        <x:v>O0458</x:v>
      </x:c>
      <x:c r="B459" s="10" t="n">
        <x:f>Raw_Orders!B459</x:f>
        <x:v>45998</x:v>
      </x:c>
      <x:c r="C459" t="str">
        <x:f>Raw_Orders!C459</x:f>
        <x:v>C028</x:v>
      </x:c>
      <x:c r="D459" t="str">
        <x:f>INDEX(Customers!$B$2:$B$81,MATCH(C459,Customers!$A$2:$A$81,0))</x:f>
        <x:v>Customer 28</x:v>
      </x:c>
      <x:c r="E459" t="str">
        <x:f>INDEX(Customers!$C$2:$C$81,MATCH(C459,Customers!$A$2:$A$81,0))</x:f>
        <x:v>Consumer</x:v>
      </x:c>
      <x:c r="F459" t="str">
        <x:f>INDEX(Customers!$D$2:$D$81,MATCH(C459,Customers!$A$2:$A$81,0))</x:f>
        <x:v>West</x:v>
      </x:c>
      <x:c r="G459" t="str">
        <x:f>Raw_Orders!D459</x:f>
        <x:v>P004</x:v>
      </x:c>
      <x:c r="H459" t="str">
        <x:f>INDEX(Products!$B$2:$B$13,MATCH(G459,Products!$A$2:$A$13,0))</x:f>
        <x:v>24in Monitor</x:v>
      </x:c>
      <x:c r="I459" t="str">
        <x:f>INDEX(Products!$C$2:$C$13,MATCH(G459,Products!$A$2:$A$13,0))</x:f>
        <x:v>Displays</x:v>
      </x:c>
      <x:c r="J459" t="str">
        <x:f>Raw_Orders!G459</x:f>
        <x:v>Online</x:v>
      </x:c>
      <x:c r="K459" t="n">
        <x:f>Raw_Orders!E459</x:f>
        <x:v>6</x:v>
      </x:c>
      <x:c r="L459" s="12" t="n">
        <x:f>Raw_Orders!F459</x:f>
        <x:v>0.1</x:v>
      </x:c>
      <x:c r="M459" s="14" t="n">
        <x:f>INDEX(Products!$D$2:$D$13,MATCH(G459,Products!$A$2:$A$13,0))</x:f>
        <x:v>220</x:v>
      </x:c>
      <x:c r="N459" s="14" t="n">
        <x:f>INDEX(Products!$E$2:$E$13,MATCH(G459,Products!$A$2:$A$13,0))</x:f>
        <x:v>142</x:v>
      </x:c>
      <x:c r="O459" s="14" t="n">
        <x:f>K459*M459</x:f>
        <x:v>1320</x:v>
      </x:c>
      <x:c r="P459" s="14" t="n">
        <x:f>O459*(1-L459)</x:f>
        <x:v>1188</x:v>
      </x:c>
      <x:c r="Q459" s="14" t="n">
        <x:f>K459*N459</x:f>
        <x:v>852</x:v>
      </x:c>
      <x:c r="R459" s="14" t="n">
        <x:f>P459-Q459</x:f>
        <x:v>336</x:v>
      </x:c>
      <x:c r="S459" s="16" t="n">
        <x:f>IFERROR(R459/P459,0)</x:f>
        <x:v>0.2828282828282828</x:v>
      </x:c>
    </x:row>
    <x:row r="460" ht="15" hidden="0" customHeight="1">
      <x:c r="A460" t="str">
        <x:f>Raw_Orders!A460</x:f>
        <x:v>O0459</x:v>
      </x:c>
      <x:c r="B460" s="10" t="n">
        <x:f>Raw_Orders!B460</x:f>
        <x:v>45927</x:v>
      </x:c>
      <x:c r="C460" t="str">
        <x:f>Raw_Orders!C460</x:f>
        <x:v>C058</x:v>
      </x:c>
      <x:c r="D460" t="str">
        <x:f>INDEX(Customers!$B$2:$B$81,MATCH(C460,Customers!$A$2:$A$81,0))</x:f>
        <x:v>Customer 58</x:v>
      </x:c>
      <x:c r="E460" t="str">
        <x:f>INDEX(Customers!$C$2:$C$81,MATCH(C460,Customers!$A$2:$A$81,0))</x:f>
        <x:v>Consumer</x:v>
      </x:c>
      <x:c r="F460" t="str">
        <x:f>INDEX(Customers!$D$2:$D$81,MATCH(C460,Customers!$A$2:$A$81,0))</x:f>
        <x:v>South</x:v>
      </x:c>
      <x:c r="G460" t="str">
        <x:f>Raw_Orders!D460</x:f>
        <x:v>P009</x:v>
      </x:c>
      <x:c r="H460" t="str">
        <x:f>INDEX(Products!$B$2:$B$13,MATCH(G460,Products!$A$2:$A$13,0))</x:f>
        <x:v>Desk Lamp</x:v>
      </x:c>
      <x:c r="I460" t="str">
        <x:f>INDEX(Products!$C$2:$C$13,MATCH(G460,Products!$A$2:$A$13,0))</x:f>
        <x:v>Office</x:v>
      </x:c>
      <x:c r="J460" t="str">
        <x:f>Raw_Orders!G460</x:f>
        <x:v>Online</x:v>
      </x:c>
      <x:c r="K460" t="n">
        <x:f>Raw_Orders!E460</x:f>
        <x:v>6</x:v>
      </x:c>
      <x:c r="L460" s="12" t="n">
        <x:f>Raw_Orders!F460</x:f>
        <x:v>0</x:v>
      </x:c>
      <x:c r="M460" s="14" t="n">
        <x:f>INDEX(Products!$D$2:$D$13,MATCH(G460,Products!$A$2:$A$13,0))</x:f>
        <x:v>70</x:v>
      </x:c>
      <x:c r="N460" s="14" t="n">
        <x:f>INDEX(Products!$E$2:$E$13,MATCH(G460,Products!$A$2:$A$13,0))</x:f>
        <x:v>29</x:v>
      </x:c>
      <x:c r="O460" s="14" t="n">
        <x:f>K460*M460</x:f>
        <x:v>420</x:v>
      </x:c>
      <x:c r="P460" s="14" t="n">
        <x:f>O460*(1-L460)</x:f>
        <x:v>420</x:v>
      </x:c>
      <x:c r="Q460" s="14" t="n">
        <x:f>K460*N460</x:f>
        <x:v>174</x:v>
      </x:c>
      <x:c r="R460" s="14" t="n">
        <x:f>P460-Q460</x:f>
        <x:v>246</x:v>
      </x:c>
      <x:c r="S460" s="16" t="n">
        <x:f>IFERROR(R460/P460,0)</x:f>
        <x:v>0.5857142857142857</x:v>
      </x:c>
    </x:row>
    <x:row r="461" ht="15" hidden="0" customHeight="1">
      <x:c r="A461" t="str">
        <x:f>Raw_Orders!A461</x:f>
        <x:v>O0460</x:v>
      </x:c>
      <x:c r="B461" s="10" t="n">
        <x:f>Raw_Orders!B461</x:f>
        <x:v>45946</x:v>
      </x:c>
      <x:c r="C461" t="str">
        <x:f>Raw_Orders!C461</x:f>
        <x:v>C015</x:v>
      </x:c>
      <x:c r="D461" t="str">
        <x:f>INDEX(Customers!$B$2:$B$81,MATCH(C461,Customers!$A$2:$A$81,0))</x:f>
        <x:v>Customer 15</x:v>
      </x:c>
      <x:c r="E461" t="str">
        <x:f>INDEX(Customers!$C$2:$C$81,MATCH(C461,Customers!$A$2:$A$81,0))</x:f>
        <x:v>Small Business</x:v>
      </x:c>
      <x:c r="F461" t="str">
        <x:f>INDEX(Customers!$D$2:$D$81,MATCH(C461,Customers!$A$2:$A$81,0))</x:f>
        <x:v>East</x:v>
      </x:c>
      <x:c r="G461" t="str">
        <x:f>Raw_Orders!D461</x:f>
        <x:v>P001</x:v>
      </x:c>
      <x:c r="H461" t="str">
        <x:f>INDEX(Products!$B$2:$B$13,MATCH(G461,Products!$A$2:$A$13,0))</x:f>
        <x:v>Wireless Headset</x:v>
      </x:c>
      <x:c r="I461" t="str">
        <x:f>INDEX(Products!$C$2:$C$13,MATCH(G461,Products!$A$2:$A$13,0))</x:f>
        <x:v>Accessories</x:v>
      </x:c>
      <x:c r="J461" t="str">
        <x:f>Raw_Orders!G461</x:f>
        <x:v>Online</x:v>
      </x:c>
      <x:c r="K461" t="n">
        <x:f>Raw_Orders!E461</x:f>
        <x:v>5</x:v>
      </x:c>
      <x:c r="L461" s="12" t="n">
        <x:f>Raw_Orders!F461</x:f>
        <x:v>0.1</x:v>
      </x:c>
      <x:c r="M461" s="14" t="n">
        <x:f>INDEX(Products!$D$2:$D$13,MATCH(G461,Products!$A$2:$A$13,0))</x:f>
        <x:v>85</x:v>
      </x:c>
      <x:c r="N461" s="14" t="n">
        <x:f>INDEX(Products!$E$2:$E$13,MATCH(G461,Products!$A$2:$A$13,0))</x:f>
        <x:v>42</x:v>
      </x:c>
      <x:c r="O461" s="14" t="n">
        <x:f>K461*M461</x:f>
        <x:v>425</x:v>
      </x:c>
      <x:c r="P461" s="14" t="n">
        <x:f>O461*(1-L461)</x:f>
        <x:v>382.5</x:v>
      </x:c>
      <x:c r="Q461" s="14" t="n">
        <x:f>K461*N461</x:f>
        <x:v>210</x:v>
      </x:c>
      <x:c r="R461" s="14" t="n">
        <x:f>P461-Q461</x:f>
        <x:v>172.5</x:v>
      </x:c>
      <x:c r="S461" s="16" t="n">
        <x:f>IFERROR(R461/P461,0)</x:f>
        <x:v>0.45098039215686275</x:v>
      </x:c>
    </x:row>
    <x:row r="462" ht="15" hidden="0" customHeight="1">
      <x:c r="A462" t="str">
        <x:f>Raw_Orders!A462</x:f>
        <x:v>O0461</x:v>
      </x:c>
      <x:c r="B462" s="10" t="n">
        <x:f>Raw_Orders!B462</x:f>
        <x:v>45951</x:v>
      </x:c>
      <x:c r="C462" t="str">
        <x:f>Raw_Orders!C462</x:f>
        <x:v>C069</x:v>
      </x:c>
      <x:c r="D462" t="str">
        <x:f>INDEX(Customers!$B$2:$B$81,MATCH(C462,Customers!$A$2:$A$81,0))</x:f>
        <x:v>Customer 69</x:v>
      </x:c>
      <x:c r="E462" t="str">
        <x:f>INDEX(Customers!$C$2:$C$81,MATCH(C462,Customers!$A$2:$A$81,0))</x:f>
        <x:v>Small Business</x:v>
      </x:c>
      <x:c r="F462" t="str">
        <x:f>INDEX(Customers!$D$2:$D$81,MATCH(C462,Customers!$A$2:$A$81,0))</x:f>
        <x:v>North</x:v>
      </x:c>
      <x:c r="G462" t="str">
        <x:f>Raw_Orders!D462</x:f>
        <x:v>P003</x:v>
      </x:c>
      <x:c r="H462" t="str">
        <x:f>INDEX(Products!$B$2:$B$13,MATCH(G462,Products!$A$2:$A$13,0))</x:f>
        <x:v>USB-C Hub</x:v>
      </x:c>
      <x:c r="I462" t="str">
        <x:f>INDEX(Products!$C$2:$C$13,MATCH(G462,Products!$A$2:$A$13,0))</x:f>
        <x:v>Accessories</x:v>
      </x:c>
      <x:c r="J462" t="str">
        <x:f>Raw_Orders!G462</x:f>
        <x:v>Partner</x:v>
      </x:c>
      <x:c r="K462" t="n">
        <x:f>Raw_Orders!E462</x:f>
        <x:v>2</x:v>
      </x:c>
      <x:c r="L462" s="12" t="n">
        <x:f>Raw_Orders!F462</x:f>
        <x:v>0</x:v>
      </x:c>
      <x:c r="M462" s="14" t="n">
        <x:f>INDEX(Products!$D$2:$D$13,MATCH(G462,Products!$A$2:$A$13,0))</x:f>
        <x:v>65</x:v>
      </x:c>
      <x:c r="N462" s="14" t="n">
        <x:f>INDEX(Products!$E$2:$E$13,MATCH(G462,Products!$A$2:$A$13,0))</x:f>
        <x:v>31</x:v>
      </x:c>
      <x:c r="O462" s="14" t="n">
        <x:f>K462*M462</x:f>
        <x:v>130</x:v>
      </x:c>
      <x:c r="P462" s="14" t="n">
        <x:f>O462*(1-L462)</x:f>
        <x:v>130</x:v>
      </x:c>
      <x:c r="Q462" s="14" t="n">
        <x:f>K462*N462</x:f>
        <x:v>62</x:v>
      </x:c>
      <x:c r="R462" s="14" t="n">
        <x:f>P462-Q462</x:f>
        <x:v>68</x:v>
      </x:c>
      <x:c r="S462" s="16" t="n">
        <x:f>IFERROR(R462/P462,0)</x:f>
        <x:v>0.5230769230769231</x:v>
      </x:c>
    </x:row>
    <x:row r="463" ht="15" hidden="0" customHeight="1">
      <x:c r="A463" t="str">
        <x:f>Raw_Orders!A463</x:f>
        <x:v>O0462</x:v>
      </x:c>
      <x:c r="B463" s="10" t="n">
        <x:f>Raw_Orders!B463</x:f>
        <x:v>45884</x:v>
      </x:c>
      <x:c r="C463" t="str">
        <x:f>Raw_Orders!C463</x:f>
        <x:v>C015</x:v>
      </x:c>
      <x:c r="D463" t="str">
        <x:f>INDEX(Customers!$B$2:$B$81,MATCH(C463,Customers!$A$2:$A$81,0))</x:f>
        <x:v>Customer 15</x:v>
      </x:c>
      <x:c r="E463" t="str">
        <x:f>INDEX(Customers!$C$2:$C$81,MATCH(C463,Customers!$A$2:$A$81,0))</x:f>
        <x:v>Small Business</x:v>
      </x:c>
      <x:c r="F463" t="str">
        <x:f>INDEX(Customers!$D$2:$D$81,MATCH(C463,Customers!$A$2:$A$81,0))</x:f>
        <x:v>East</x:v>
      </x:c>
      <x:c r="G463" t="str">
        <x:f>Raw_Orders!D463</x:f>
        <x:v>P011</x:v>
      </x:c>
      <x:c r="H463" t="str">
        <x:f>INDEX(Products!$B$2:$B$13,MATCH(G463,Products!$A$2:$A$13,0))</x:f>
        <x:v>External HDD</x:v>
      </x:c>
      <x:c r="I463" t="str">
        <x:f>INDEX(Products!$C$2:$C$13,MATCH(G463,Products!$A$2:$A$13,0))</x:f>
        <x:v>Storage</x:v>
      </x:c>
      <x:c r="J463" t="str">
        <x:f>Raw_Orders!G463</x:f>
        <x:v>Partner</x:v>
      </x:c>
      <x:c r="K463" t="n">
        <x:f>Raw_Orders!E463</x:f>
        <x:v>2</x:v>
      </x:c>
      <x:c r="L463" s="12" t="n">
        <x:f>Raw_Orders!F463</x:f>
        <x:v>0.15</x:v>
      </x:c>
      <x:c r="M463" s="14" t="n">
        <x:f>INDEX(Products!$D$2:$D$13,MATCH(G463,Products!$A$2:$A$13,0))</x:f>
        <x:v>120</x:v>
      </x:c>
      <x:c r="N463" s="14" t="n">
        <x:f>INDEX(Products!$E$2:$E$13,MATCH(G463,Products!$A$2:$A$13,0))</x:f>
        <x:v>72</x:v>
      </x:c>
      <x:c r="O463" s="14" t="n">
        <x:f>K463*M463</x:f>
        <x:v>240</x:v>
      </x:c>
      <x:c r="P463" s="14" t="n">
        <x:f>O463*(1-L463)</x:f>
        <x:v>204</x:v>
      </x:c>
      <x:c r="Q463" s="14" t="n">
        <x:f>K463*N463</x:f>
        <x:v>144</x:v>
      </x:c>
      <x:c r="R463" s="14" t="n">
        <x:f>P463-Q463</x:f>
        <x:v>60</x:v>
      </x:c>
      <x:c r="S463" s="16" t="n">
        <x:f>IFERROR(R463/P463,0)</x:f>
        <x:v>0.29411764705882354</x:v>
      </x:c>
    </x:row>
    <x:row r="464" ht="15" hidden="0" customHeight="1">
      <x:c r="A464" t="str">
        <x:f>Raw_Orders!A464</x:f>
        <x:v>O0463</x:v>
      </x:c>
      <x:c r="B464" s="10" t="n">
        <x:f>Raw_Orders!B464</x:f>
        <x:v>45908</x:v>
      </x:c>
      <x:c r="C464" t="str">
        <x:f>Raw_Orders!C464</x:f>
        <x:v>C012</x:v>
      </x:c>
      <x:c r="D464" t="str">
        <x:f>INDEX(Customers!$B$2:$B$81,MATCH(C464,Customers!$A$2:$A$81,0))</x:f>
        <x:v>Customer 12</x:v>
      </x:c>
      <x:c r="E464" t="str">
        <x:f>INDEX(Customers!$C$2:$C$81,MATCH(C464,Customers!$A$2:$A$81,0))</x:f>
        <x:v>Small Business</x:v>
      </x:c>
      <x:c r="F464" t="str">
        <x:f>INDEX(Customers!$D$2:$D$81,MATCH(C464,Customers!$A$2:$A$81,0))</x:f>
        <x:v>West</x:v>
      </x:c>
      <x:c r="G464" t="str">
        <x:f>Raw_Orders!D464</x:f>
        <x:v>P009</x:v>
      </x:c>
      <x:c r="H464" t="str">
        <x:f>INDEX(Products!$B$2:$B$13,MATCH(G464,Products!$A$2:$A$13,0))</x:f>
        <x:v>Desk Lamp</x:v>
      </x:c>
      <x:c r="I464" t="str">
        <x:f>INDEX(Products!$C$2:$C$13,MATCH(G464,Products!$A$2:$A$13,0))</x:f>
        <x:v>Office</x:v>
      </x:c>
      <x:c r="J464" t="str">
        <x:f>Raw_Orders!G464</x:f>
        <x:v>Retail</x:v>
      </x:c>
      <x:c r="K464" t="n">
        <x:f>Raw_Orders!E464</x:f>
        <x:v>4</x:v>
      </x:c>
      <x:c r="L464" s="12" t="n">
        <x:f>Raw_Orders!F464</x:f>
        <x:v>0</x:v>
      </x:c>
      <x:c r="M464" s="14" t="n">
        <x:f>INDEX(Products!$D$2:$D$13,MATCH(G464,Products!$A$2:$A$13,0))</x:f>
        <x:v>70</x:v>
      </x:c>
      <x:c r="N464" s="14" t="n">
        <x:f>INDEX(Products!$E$2:$E$13,MATCH(G464,Products!$A$2:$A$13,0))</x:f>
        <x:v>29</x:v>
      </x:c>
      <x:c r="O464" s="14" t="n">
        <x:f>K464*M464</x:f>
        <x:v>280</x:v>
      </x:c>
      <x:c r="P464" s="14" t="n">
        <x:f>O464*(1-L464)</x:f>
        <x:v>280</x:v>
      </x:c>
      <x:c r="Q464" s="14" t="n">
        <x:f>K464*N464</x:f>
        <x:v>116</x:v>
      </x:c>
      <x:c r="R464" s="14" t="n">
        <x:f>P464-Q464</x:f>
        <x:v>164</x:v>
      </x:c>
      <x:c r="S464" s="16" t="n">
        <x:f>IFERROR(R464/P464,0)</x:f>
        <x:v>0.5857142857142857</x:v>
      </x:c>
    </x:row>
    <x:row r="465" ht="15" hidden="0" customHeight="1">
      <x:c r="A465" t="str">
        <x:f>Raw_Orders!A465</x:f>
        <x:v>O0464</x:v>
      </x:c>
      <x:c r="B465" s="10" t="n">
        <x:f>Raw_Orders!B465</x:f>
        <x:v>45725</x:v>
      </x:c>
      <x:c r="C465" t="str">
        <x:f>Raw_Orders!C465</x:f>
        <x:v>C066</x:v>
      </x:c>
      <x:c r="D465" t="str">
        <x:f>INDEX(Customers!$B$2:$B$81,MATCH(C465,Customers!$A$2:$A$81,0))</x:f>
        <x:v>Customer 66</x:v>
      </x:c>
      <x:c r="E465" t="str">
        <x:f>INDEX(Customers!$C$2:$C$81,MATCH(C465,Customers!$A$2:$A$81,0))</x:f>
        <x:v>Small Business</x:v>
      </x:c>
      <x:c r="F465" t="str">
        <x:f>INDEX(Customers!$D$2:$D$81,MATCH(C465,Customers!$A$2:$A$81,0))</x:f>
        <x:v>South</x:v>
      </x:c>
      <x:c r="G465" t="str">
        <x:f>Raw_Orders!D465</x:f>
        <x:v>P007</x:v>
      </x:c>
      <x:c r="H465" t="str">
        <x:f>INDEX(Products!$B$2:$B$13,MATCH(G465,Products!$A$2:$A$13,0))</x:f>
        <x:v>Ergonomic Chair</x:v>
      </x:c>
      <x:c r="I465" t="str">
        <x:f>INDEX(Products!$C$2:$C$13,MATCH(G465,Products!$A$2:$A$13,0))</x:f>
        <x:v>Office</x:v>
      </x:c>
      <x:c r="J465" t="str">
        <x:f>Raw_Orders!G465</x:f>
        <x:v>Online</x:v>
      </x:c>
      <x:c r="K465" t="n">
        <x:f>Raw_Orders!E465</x:f>
        <x:v>4</x:v>
      </x:c>
      <x:c r="L465" s="12" t="n">
        <x:f>Raw_Orders!F465</x:f>
        <x:v>0.1</x:v>
      </x:c>
      <x:c r="M465" s="14" t="n">
        <x:f>INDEX(Products!$D$2:$D$13,MATCH(G465,Products!$A$2:$A$13,0))</x:f>
        <x:v>390</x:v>
      </x:c>
      <x:c r="N465" s="14" t="n">
        <x:f>INDEX(Products!$E$2:$E$13,MATCH(G465,Products!$A$2:$A$13,0))</x:f>
        <x:v>245</x:v>
      </x:c>
      <x:c r="O465" s="14" t="n">
        <x:f>K465*M465</x:f>
        <x:v>1560</x:v>
      </x:c>
      <x:c r="P465" s="14" t="n">
        <x:f>O465*(1-L465)</x:f>
        <x:v>1404</x:v>
      </x:c>
      <x:c r="Q465" s="14" t="n">
        <x:f>K465*N465</x:f>
        <x:v>980</x:v>
      </x:c>
      <x:c r="R465" s="14" t="n">
        <x:f>P465-Q465</x:f>
        <x:v>424</x:v>
      </x:c>
      <x:c r="S465" s="16" t="n">
        <x:f>IFERROR(R465/P465,0)</x:f>
        <x:v>0.301994301994302</x:v>
      </x:c>
    </x:row>
    <x:row r="466" ht="15" hidden="0" customHeight="1">
      <x:c r="A466" t="str">
        <x:f>Raw_Orders!A466</x:f>
        <x:v>O0465</x:v>
      </x:c>
      <x:c r="B466" s="10" t="n">
        <x:f>Raw_Orders!B466</x:f>
        <x:v>45944</x:v>
      </x:c>
      <x:c r="C466" t="str">
        <x:f>Raw_Orders!C466</x:f>
        <x:v>C060</x:v>
      </x:c>
      <x:c r="D466" t="str">
        <x:f>INDEX(Customers!$B$2:$B$81,MATCH(C466,Customers!$A$2:$A$81,0))</x:f>
        <x:v>Customer 60</x:v>
      </x:c>
      <x:c r="E466" t="str">
        <x:f>INDEX(Customers!$C$2:$C$81,MATCH(C466,Customers!$A$2:$A$81,0))</x:f>
        <x:v>Small Business</x:v>
      </x:c>
      <x:c r="F466" t="str">
        <x:f>INDEX(Customers!$D$2:$D$81,MATCH(C466,Customers!$A$2:$A$81,0))</x:f>
        <x:v>West</x:v>
      </x:c>
      <x:c r="G466" t="str">
        <x:f>Raw_Orders!D466</x:f>
        <x:v>P011</x:v>
      </x:c>
      <x:c r="H466" t="str">
        <x:f>INDEX(Products!$B$2:$B$13,MATCH(G466,Products!$A$2:$A$13,0))</x:f>
        <x:v>External HDD</x:v>
      </x:c>
      <x:c r="I466" t="str">
        <x:f>INDEX(Products!$C$2:$C$13,MATCH(G466,Products!$A$2:$A$13,0))</x:f>
        <x:v>Storage</x:v>
      </x:c>
      <x:c r="J466" t="str">
        <x:f>Raw_Orders!G466</x:f>
        <x:v>Online</x:v>
      </x:c>
      <x:c r="K466" t="n">
        <x:f>Raw_Orders!E466</x:f>
        <x:v>3</x:v>
      </x:c>
      <x:c r="L466" s="12" t="n">
        <x:f>Raw_Orders!F466</x:f>
        <x:v>0.15</x:v>
      </x:c>
      <x:c r="M466" s="14" t="n">
        <x:f>INDEX(Products!$D$2:$D$13,MATCH(G466,Products!$A$2:$A$13,0))</x:f>
        <x:v>120</x:v>
      </x:c>
      <x:c r="N466" s="14" t="n">
        <x:f>INDEX(Products!$E$2:$E$13,MATCH(G466,Products!$A$2:$A$13,0))</x:f>
        <x:v>72</x:v>
      </x:c>
      <x:c r="O466" s="14" t="n">
        <x:f>K466*M466</x:f>
        <x:v>360</x:v>
      </x:c>
      <x:c r="P466" s="14" t="n">
        <x:f>O466*(1-L466)</x:f>
        <x:v>306</x:v>
      </x:c>
      <x:c r="Q466" s="14" t="n">
        <x:f>K466*N466</x:f>
        <x:v>216</x:v>
      </x:c>
      <x:c r="R466" s="14" t="n">
        <x:f>P466-Q466</x:f>
        <x:v>90</x:v>
      </x:c>
      <x:c r="S466" s="16" t="n">
        <x:f>IFERROR(R466/P466,0)</x:f>
        <x:v>0.29411764705882354</x:v>
      </x:c>
    </x:row>
    <x:row r="467" ht="15" hidden="0" customHeight="1">
      <x:c r="A467" t="str">
        <x:f>Raw_Orders!A467</x:f>
        <x:v>O0466</x:v>
      </x:c>
      <x:c r="B467" s="10" t="n">
        <x:f>Raw_Orders!B467</x:f>
        <x:v>45860</x:v>
      </x:c>
      <x:c r="C467" t="str">
        <x:f>Raw_Orders!C467</x:f>
        <x:v>C033</x:v>
      </x:c>
      <x:c r="D467" t="str">
        <x:f>INDEX(Customers!$B$2:$B$81,MATCH(C467,Customers!$A$2:$A$81,0))</x:f>
        <x:v>Customer 33</x:v>
      </x:c>
      <x:c r="E467" t="str">
        <x:f>INDEX(Customers!$C$2:$C$81,MATCH(C467,Customers!$A$2:$A$81,0))</x:f>
        <x:v>Small Business</x:v>
      </x:c>
      <x:c r="F467" t="str">
        <x:f>INDEX(Customers!$D$2:$D$81,MATCH(C467,Customers!$A$2:$A$81,0))</x:f>
        <x:v>North</x:v>
      </x:c>
      <x:c r="G467" t="str">
        <x:f>Raw_Orders!D467</x:f>
        <x:v>P001</x:v>
      </x:c>
      <x:c r="H467" t="str">
        <x:f>INDEX(Products!$B$2:$B$13,MATCH(G467,Products!$A$2:$A$13,0))</x:f>
        <x:v>Wireless Headset</x:v>
      </x:c>
      <x:c r="I467" t="str">
        <x:f>INDEX(Products!$C$2:$C$13,MATCH(G467,Products!$A$2:$A$13,0))</x:f>
        <x:v>Accessories</x:v>
      </x:c>
      <x:c r="J467" t="str">
        <x:f>Raw_Orders!G467</x:f>
        <x:v>Partner</x:v>
      </x:c>
      <x:c r="K467" t="n">
        <x:f>Raw_Orders!E467</x:f>
        <x:v>6</x:v>
      </x:c>
      <x:c r="L467" s="12" t="n">
        <x:f>Raw_Orders!F467</x:f>
        <x:v>0</x:v>
      </x:c>
      <x:c r="M467" s="14" t="n">
        <x:f>INDEX(Products!$D$2:$D$13,MATCH(G467,Products!$A$2:$A$13,0))</x:f>
        <x:v>85</x:v>
      </x:c>
      <x:c r="N467" s="14" t="n">
        <x:f>INDEX(Products!$E$2:$E$13,MATCH(G467,Products!$A$2:$A$13,0))</x:f>
        <x:v>42</x:v>
      </x:c>
      <x:c r="O467" s="14" t="n">
        <x:f>K467*M467</x:f>
        <x:v>510</x:v>
      </x:c>
      <x:c r="P467" s="14" t="n">
        <x:f>O467*(1-L467)</x:f>
        <x:v>510</x:v>
      </x:c>
      <x:c r="Q467" s="14" t="n">
        <x:f>K467*N467</x:f>
        <x:v>252</x:v>
      </x:c>
      <x:c r="R467" s="14" t="n">
        <x:f>P467-Q467</x:f>
        <x:v>258</x:v>
      </x:c>
      <x:c r="S467" s="16" t="n">
        <x:f>IFERROR(R467/P467,0)</x:f>
        <x:v>0.5058823529411764</x:v>
      </x:c>
    </x:row>
    <x:row r="468" ht="15" hidden="0" customHeight="1">
      <x:c r="A468" t="str">
        <x:f>Raw_Orders!A468</x:f>
        <x:v>O0467</x:v>
      </x:c>
      <x:c r="B468" s="10" t="n">
        <x:f>Raw_Orders!B468</x:f>
        <x:v>45695</x:v>
      </x:c>
      <x:c r="C468" t="str">
        <x:f>Raw_Orders!C468</x:f>
        <x:v>C006</x:v>
      </x:c>
      <x:c r="D468" t="str">
        <x:f>INDEX(Customers!$B$2:$B$81,MATCH(C468,Customers!$A$2:$A$81,0))</x:f>
        <x:v>Customer 06</x:v>
      </x:c>
      <x:c r="E468" t="str">
        <x:f>INDEX(Customers!$C$2:$C$81,MATCH(C468,Customers!$A$2:$A$81,0))</x:f>
        <x:v>Small Business</x:v>
      </x:c>
      <x:c r="F468" t="str">
        <x:f>INDEX(Customers!$D$2:$D$81,MATCH(C468,Customers!$A$2:$A$81,0))</x:f>
        <x:v>South</x:v>
      </x:c>
      <x:c r="G468" t="str">
        <x:f>Raw_Orders!D468</x:f>
        <x:v>P007</x:v>
      </x:c>
      <x:c r="H468" t="str">
        <x:f>INDEX(Products!$B$2:$B$13,MATCH(G468,Products!$A$2:$A$13,0))</x:f>
        <x:v>Ergonomic Chair</x:v>
      </x:c>
      <x:c r="I468" t="str">
        <x:f>INDEX(Products!$C$2:$C$13,MATCH(G468,Products!$A$2:$A$13,0))</x:f>
        <x:v>Office</x:v>
      </x:c>
      <x:c r="J468" t="str">
        <x:f>Raw_Orders!G468</x:f>
        <x:v>Online</x:v>
      </x:c>
      <x:c r="K468" t="n">
        <x:f>Raw_Orders!E468</x:f>
        <x:v>3</x:v>
      </x:c>
      <x:c r="L468" s="12" t="n">
        <x:f>Raw_Orders!F468</x:f>
        <x:v>0.15</x:v>
      </x:c>
      <x:c r="M468" s="14" t="n">
        <x:f>INDEX(Products!$D$2:$D$13,MATCH(G468,Products!$A$2:$A$13,0))</x:f>
        <x:v>390</x:v>
      </x:c>
      <x:c r="N468" s="14" t="n">
        <x:f>INDEX(Products!$E$2:$E$13,MATCH(G468,Products!$A$2:$A$13,0))</x:f>
        <x:v>245</x:v>
      </x:c>
      <x:c r="O468" s="14" t="n">
        <x:f>K468*M468</x:f>
        <x:v>1170</x:v>
      </x:c>
      <x:c r="P468" s="14" t="n">
        <x:f>O468*(1-L468)</x:f>
        <x:v>994.5</x:v>
      </x:c>
      <x:c r="Q468" s="14" t="n">
        <x:f>K468*N468</x:f>
        <x:v>735</x:v>
      </x:c>
      <x:c r="R468" s="14" t="n">
        <x:f>P468-Q468</x:f>
        <x:v>259.5</x:v>
      </x:c>
      <x:c r="S468" s="16" t="n">
        <x:f>IFERROR(R468/P468,0)</x:f>
        <x:v>0.2609351432880845</x:v>
      </x:c>
    </x:row>
    <x:row r="469" ht="15" hidden="0" customHeight="1">
      <x:c r="A469" t="str">
        <x:f>Raw_Orders!A469</x:f>
        <x:v>O0468</x:v>
      </x:c>
      <x:c r="B469" s="10" t="n">
        <x:f>Raw_Orders!B469</x:f>
        <x:v>45935</x:v>
      </x:c>
      <x:c r="C469" t="str">
        <x:f>Raw_Orders!C469</x:f>
        <x:v>C008</x:v>
      </x:c>
      <x:c r="D469" t="str">
        <x:f>INDEX(Customers!$B$2:$B$81,MATCH(C469,Customers!$A$2:$A$81,0))</x:f>
        <x:v>Customer 08</x:v>
      </x:c>
      <x:c r="E469" t="str">
        <x:f>INDEX(Customers!$C$2:$C$81,MATCH(C469,Customers!$A$2:$A$81,0))</x:f>
        <x:v>Corporate</x:v>
      </x:c>
      <x:c r="F469" t="str">
        <x:f>INDEX(Customers!$D$2:$D$81,MATCH(C469,Customers!$A$2:$A$81,0))</x:f>
        <x:v>West</x:v>
      </x:c>
      <x:c r="G469" t="str">
        <x:f>Raw_Orders!D469</x:f>
        <x:v>P002</x:v>
      </x:c>
      <x:c r="H469" t="str">
        <x:f>INDEX(Products!$B$2:$B$13,MATCH(G469,Products!$A$2:$A$13,0))</x:f>
        <x:v>Mechanical Keyboard</x:v>
      </x:c>
      <x:c r="I469" t="str">
        <x:f>INDEX(Products!$C$2:$C$13,MATCH(G469,Products!$A$2:$A$13,0))</x:f>
        <x:v>Accessories</x:v>
      </x:c>
      <x:c r="J469" t="str">
        <x:f>Raw_Orders!G469</x:f>
        <x:v>Retail</x:v>
      </x:c>
      <x:c r="K469" t="n">
        <x:f>Raw_Orders!E469</x:f>
        <x:v>4</x:v>
      </x:c>
      <x:c r="L469" s="12" t="n">
        <x:f>Raw_Orders!F469</x:f>
        <x:v>0</x:v>
      </x:c>
      <x:c r="M469" s="14" t="n">
        <x:f>INDEX(Products!$D$2:$D$13,MATCH(G469,Products!$A$2:$A$13,0))</x:f>
        <x:v>110</x:v>
      </x:c>
      <x:c r="N469" s="14" t="n">
        <x:f>INDEX(Products!$E$2:$E$13,MATCH(G469,Products!$A$2:$A$13,0))</x:f>
        <x:v>58</x:v>
      </x:c>
      <x:c r="O469" s="14" t="n">
        <x:f>K469*M469</x:f>
        <x:v>440</x:v>
      </x:c>
      <x:c r="P469" s="14" t="n">
        <x:f>O469*(1-L469)</x:f>
        <x:v>440</x:v>
      </x:c>
      <x:c r="Q469" s="14" t="n">
        <x:f>K469*N469</x:f>
        <x:v>232</x:v>
      </x:c>
      <x:c r="R469" s="14" t="n">
        <x:f>P469-Q469</x:f>
        <x:v>208</x:v>
      </x:c>
      <x:c r="S469" s="16" t="n">
        <x:f>IFERROR(R469/P469,0)</x:f>
        <x:v>0.4727272727272727</x:v>
      </x:c>
    </x:row>
    <x:row r="470" ht="15" hidden="0" customHeight="1">
      <x:c r="A470" t="str">
        <x:f>Raw_Orders!A470</x:f>
        <x:v>O0469</x:v>
      </x:c>
      <x:c r="B470" s="10" t="n">
        <x:f>Raw_Orders!B470</x:f>
        <x:v>45867</x:v>
      </x:c>
      <x:c r="C470" t="str">
        <x:f>Raw_Orders!C470</x:f>
        <x:v>C024</x:v>
      </x:c>
      <x:c r="D470" t="str">
        <x:f>INDEX(Customers!$B$2:$B$81,MATCH(C470,Customers!$A$2:$A$81,0))</x:f>
        <x:v>Customer 24</x:v>
      </x:c>
      <x:c r="E470" t="str">
        <x:f>INDEX(Customers!$C$2:$C$81,MATCH(C470,Customers!$A$2:$A$81,0))</x:f>
        <x:v>Small Business</x:v>
      </x:c>
      <x:c r="F470" t="str">
        <x:f>INDEX(Customers!$D$2:$D$81,MATCH(C470,Customers!$A$2:$A$81,0))</x:f>
        <x:v>West</x:v>
      </x:c>
      <x:c r="G470" t="str">
        <x:f>Raw_Orders!D470</x:f>
        <x:v>P003</x:v>
      </x:c>
      <x:c r="H470" t="str">
        <x:f>INDEX(Products!$B$2:$B$13,MATCH(G470,Products!$A$2:$A$13,0))</x:f>
        <x:v>USB-C Hub</x:v>
      </x:c>
      <x:c r="I470" t="str">
        <x:f>INDEX(Products!$C$2:$C$13,MATCH(G470,Products!$A$2:$A$13,0))</x:f>
        <x:v>Accessories</x:v>
      </x:c>
      <x:c r="J470" t="str">
        <x:f>Raw_Orders!G470</x:f>
        <x:v>Partner</x:v>
      </x:c>
      <x:c r="K470" t="n">
        <x:f>Raw_Orders!E470</x:f>
        <x:v>6</x:v>
      </x:c>
      <x:c r="L470" s="12" t="n">
        <x:f>Raw_Orders!F470</x:f>
        <x:v>0.15</x:v>
      </x:c>
      <x:c r="M470" s="14" t="n">
        <x:f>INDEX(Products!$D$2:$D$13,MATCH(G470,Products!$A$2:$A$13,0))</x:f>
        <x:v>65</x:v>
      </x:c>
      <x:c r="N470" s="14" t="n">
        <x:f>INDEX(Products!$E$2:$E$13,MATCH(G470,Products!$A$2:$A$13,0))</x:f>
        <x:v>31</x:v>
      </x:c>
      <x:c r="O470" s="14" t="n">
        <x:f>K470*M470</x:f>
        <x:v>390</x:v>
      </x:c>
      <x:c r="P470" s="14" t="n">
        <x:f>O470*(1-L470)</x:f>
        <x:v>331.5</x:v>
      </x:c>
      <x:c r="Q470" s="14" t="n">
        <x:f>K470*N470</x:f>
        <x:v>186</x:v>
      </x:c>
      <x:c r="R470" s="14" t="n">
        <x:f>P470-Q470</x:f>
        <x:v>145.5</x:v>
      </x:c>
      <x:c r="S470" s="16" t="n">
        <x:f>IFERROR(R470/P470,0)</x:f>
        <x:v>0.43891402714932126</x:v>
      </x:c>
    </x:row>
    <x:row r="471" ht="15" hidden="0" customHeight="1">
      <x:c r="A471" t="str">
        <x:f>Raw_Orders!A471</x:f>
        <x:v>O0470</x:v>
      </x:c>
      <x:c r="B471" s="10" t="n">
        <x:f>Raw_Orders!B471</x:f>
        <x:v>45873</x:v>
      </x:c>
      <x:c r="C471" t="str">
        <x:f>Raw_Orders!C471</x:f>
        <x:v>C048</x:v>
      </x:c>
      <x:c r="D471" t="str">
        <x:f>INDEX(Customers!$B$2:$B$81,MATCH(C471,Customers!$A$2:$A$81,0))</x:f>
        <x:v>Customer 48</x:v>
      </x:c>
      <x:c r="E471" t="str">
        <x:f>INDEX(Customers!$C$2:$C$81,MATCH(C471,Customers!$A$2:$A$81,0))</x:f>
        <x:v>Small Business</x:v>
      </x:c>
      <x:c r="F471" t="str">
        <x:f>INDEX(Customers!$D$2:$D$81,MATCH(C471,Customers!$A$2:$A$81,0))</x:f>
        <x:v>West</x:v>
      </x:c>
      <x:c r="G471" t="str">
        <x:f>Raw_Orders!D471</x:f>
        <x:v>P007</x:v>
      </x:c>
      <x:c r="H471" t="str">
        <x:f>INDEX(Products!$B$2:$B$13,MATCH(G471,Products!$A$2:$A$13,0))</x:f>
        <x:v>Ergonomic Chair</x:v>
      </x:c>
      <x:c r="I471" t="str">
        <x:f>INDEX(Products!$C$2:$C$13,MATCH(G471,Products!$A$2:$A$13,0))</x:f>
        <x:v>Office</x:v>
      </x:c>
      <x:c r="J471" t="str">
        <x:f>Raw_Orders!G471</x:f>
        <x:v>Retail</x:v>
      </x:c>
      <x:c r="K471" t="n">
        <x:f>Raw_Orders!E471</x:f>
        <x:v>4</x:v>
      </x:c>
      <x:c r="L471" s="12" t="n">
        <x:f>Raw_Orders!F471</x:f>
        <x:v>0.05</x:v>
      </x:c>
      <x:c r="M471" s="14" t="n">
        <x:f>INDEX(Products!$D$2:$D$13,MATCH(G471,Products!$A$2:$A$13,0))</x:f>
        <x:v>390</x:v>
      </x:c>
      <x:c r="N471" s="14" t="n">
        <x:f>INDEX(Products!$E$2:$E$13,MATCH(G471,Products!$A$2:$A$13,0))</x:f>
        <x:v>245</x:v>
      </x:c>
      <x:c r="O471" s="14" t="n">
        <x:f>K471*M471</x:f>
        <x:v>1560</x:v>
      </x:c>
      <x:c r="P471" s="14" t="n">
        <x:f>O471*(1-L471)</x:f>
        <x:v>1482</x:v>
      </x:c>
      <x:c r="Q471" s="14" t="n">
        <x:f>K471*N471</x:f>
        <x:v>980</x:v>
      </x:c>
      <x:c r="R471" s="14" t="n">
        <x:f>P471-Q471</x:f>
        <x:v>502</x:v>
      </x:c>
      <x:c r="S471" s="16" t="n">
        <x:f>IFERROR(R471/P471,0)</x:f>
        <x:v>0.33873144399460187</x:v>
      </x:c>
    </x:row>
    <x:row r="472" ht="15" hidden="0" customHeight="1">
      <x:c r="A472" t="str">
        <x:f>Raw_Orders!A472</x:f>
        <x:v>O0471</x:v>
      </x:c>
      <x:c r="B472" s="10" t="n">
        <x:f>Raw_Orders!B472</x:f>
        <x:v>45699</x:v>
      </x:c>
      <x:c r="C472" t="str">
        <x:f>Raw_Orders!C472</x:f>
        <x:v>C070</x:v>
      </x:c>
      <x:c r="D472" t="str">
        <x:f>INDEX(Customers!$B$2:$B$81,MATCH(C472,Customers!$A$2:$A$81,0))</x:f>
        <x:v>Customer 70</x:v>
      </x:c>
      <x:c r="E472" t="str">
        <x:f>INDEX(Customers!$C$2:$C$81,MATCH(C472,Customers!$A$2:$A$81,0))</x:f>
        <x:v>Consumer</x:v>
      </x:c>
      <x:c r="F472" t="str">
        <x:f>INDEX(Customers!$D$2:$D$81,MATCH(C472,Customers!$A$2:$A$81,0))</x:f>
        <x:v>South</x:v>
      </x:c>
      <x:c r="G472" t="str">
        <x:f>Raw_Orders!D472</x:f>
        <x:v>P003</x:v>
      </x:c>
      <x:c r="H472" t="str">
        <x:f>INDEX(Products!$B$2:$B$13,MATCH(G472,Products!$A$2:$A$13,0))</x:f>
        <x:v>USB-C Hub</x:v>
      </x:c>
      <x:c r="I472" t="str">
        <x:f>INDEX(Products!$C$2:$C$13,MATCH(G472,Products!$A$2:$A$13,0))</x:f>
        <x:v>Accessories</x:v>
      </x:c>
      <x:c r="J472" t="str">
        <x:f>Raw_Orders!G472</x:f>
        <x:v>Online</x:v>
      </x:c>
      <x:c r="K472" t="n">
        <x:f>Raw_Orders!E472</x:f>
        <x:v>6</x:v>
      </x:c>
      <x:c r="L472" s="12" t="n">
        <x:f>Raw_Orders!F472</x:f>
        <x:v>0</x:v>
      </x:c>
      <x:c r="M472" s="14" t="n">
        <x:f>INDEX(Products!$D$2:$D$13,MATCH(G472,Products!$A$2:$A$13,0))</x:f>
        <x:v>65</x:v>
      </x:c>
      <x:c r="N472" s="14" t="n">
        <x:f>INDEX(Products!$E$2:$E$13,MATCH(G472,Products!$A$2:$A$13,0))</x:f>
        <x:v>31</x:v>
      </x:c>
      <x:c r="O472" s="14" t="n">
        <x:f>K472*M472</x:f>
        <x:v>390</x:v>
      </x:c>
      <x:c r="P472" s="14" t="n">
        <x:f>O472*(1-L472)</x:f>
        <x:v>390</x:v>
      </x:c>
      <x:c r="Q472" s="14" t="n">
        <x:f>K472*N472</x:f>
        <x:v>186</x:v>
      </x:c>
      <x:c r="R472" s="14" t="n">
        <x:f>P472-Q472</x:f>
        <x:v>204</x:v>
      </x:c>
      <x:c r="S472" s="16" t="n">
        <x:f>IFERROR(R472/P472,0)</x:f>
        <x:v>0.5230769230769231</x:v>
      </x:c>
    </x:row>
    <x:row r="473" ht="15" hidden="0" customHeight="1">
      <x:c r="A473" t="str">
        <x:f>Raw_Orders!A473</x:f>
        <x:v>O0472</x:v>
      </x:c>
      <x:c r="B473" s="10" t="n">
        <x:f>Raw_Orders!B473</x:f>
        <x:v>45749</x:v>
      </x:c>
      <x:c r="C473" t="str">
        <x:f>Raw_Orders!C473</x:f>
        <x:v>C069</x:v>
      </x:c>
      <x:c r="D473" t="str">
        <x:f>INDEX(Customers!$B$2:$B$81,MATCH(C473,Customers!$A$2:$A$81,0))</x:f>
        <x:v>Customer 69</x:v>
      </x:c>
      <x:c r="E473" t="str">
        <x:f>INDEX(Customers!$C$2:$C$81,MATCH(C473,Customers!$A$2:$A$81,0))</x:f>
        <x:v>Small Business</x:v>
      </x:c>
      <x:c r="F473" t="str">
        <x:f>INDEX(Customers!$D$2:$D$81,MATCH(C473,Customers!$A$2:$A$81,0))</x:f>
        <x:v>North</x:v>
      </x:c>
      <x:c r="G473" t="str">
        <x:f>Raw_Orders!D473</x:f>
        <x:v>P007</x:v>
      </x:c>
      <x:c r="H473" t="str">
        <x:f>INDEX(Products!$B$2:$B$13,MATCH(G473,Products!$A$2:$A$13,0))</x:f>
        <x:v>Ergonomic Chair</x:v>
      </x:c>
      <x:c r="I473" t="str">
        <x:f>INDEX(Products!$C$2:$C$13,MATCH(G473,Products!$A$2:$A$13,0))</x:f>
        <x:v>Office</x:v>
      </x:c>
      <x:c r="J473" t="str">
        <x:f>Raw_Orders!G473</x:f>
        <x:v>Partner</x:v>
      </x:c>
      <x:c r="K473" t="n">
        <x:f>Raw_Orders!E473</x:f>
        <x:v>5</x:v>
      </x:c>
      <x:c r="L473" s="12" t="n">
        <x:f>Raw_Orders!F473</x:f>
        <x:v>0</x:v>
      </x:c>
      <x:c r="M473" s="14" t="n">
        <x:f>INDEX(Products!$D$2:$D$13,MATCH(G473,Products!$A$2:$A$13,0))</x:f>
        <x:v>390</x:v>
      </x:c>
      <x:c r="N473" s="14" t="n">
        <x:f>INDEX(Products!$E$2:$E$13,MATCH(G473,Products!$A$2:$A$13,0))</x:f>
        <x:v>245</x:v>
      </x:c>
      <x:c r="O473" s="14" t="n">
        <x:f>K473*M473</x:f>
        <x:v>1950</x:v>
      </x:c>
      <x:c r="P473" s="14" t="n">
        <x:f>O473*(1-L473)</x:f>
        <x:v>1950</x:v>
      </x:c>
      <x:c r="Q473" s="14" t="n">
        <x:f>K473*N473</x:f>
        <x:v>1225</x:v>
      </x:c>
      <x:c r="R473" s="14" t="n">
        <x:f>P473-Q473</x:f>
        <x:v>725</x:v>
      </x:c>
      <x:c r="S473" s="16" t="n">
        <x:f>IFERROR(R473/P473,0)</x:f>
        <x:v>0.3717948717948718</x:v>
      </x:c>
    </x:row>
    <x:row r="474" ht="15" hidden="0" customHeight="1">
      <x:c r="A474" t="str">
        <x:f>Raw_Orders!A474</x:f>
        <x:v>O0473</x:v>
      </x:c>
      <x:c r="B474" s="10" t="n">
        <x:f>Raw_Orders!B474</x:f>
        <x:v>45772</x:v>
      </x:c>
      <x:c r="C474" t="str">
        <x:f>Raw_Orders!C474</x:f>
        <x:v>C001</x:v>
      </x:c>
      <x:c r="D474" t="str">
        <x:f>INDEX(Customers!$B$2:$B$81,MATCH(C474,Customers!$A$2:$A$81,0))</x:f>
        <x:v>Customer 01</x:v>
      </x:c>
      <x:c r="E474" t="str">
        <x:f>INDEX(Customers!$C$2:$C$81,MATCH(C474,Customers!$A$2:$A$81,0))</x:f>
        <x:v>Consumer</x:v>
      </x:c>
      <x:c r="F474" t="str">
        <x:f>INDEX(Customers!$D$2:$D$81,MATCH(C474,Customers!$A$2:$A$81,0))</x:f>
        <x:v>North</x:v>
      </x:c>
      <x:c r="G474" t="str">
        <x:f>Raw_Orders!D474</x:f>
        <x:v>P001</x:v>
      </x:c>
      <x:c r="H474" t="str">
        <x:f>INDEX(Products!$B$2:$B$13,MATCH(G474,Products!$A$2:$A$13,0))</x:f>
        <x:v>Wireless Headset</x:v>
      </x:c>
      <x:c r="I474" t="str">
        <x:f>INDEX(Products!$C$2:$C$13,MATCH(G474,Products!$A$2:$A$13,0))</x:f>
        <x:v>Accessories</x:v>
      </x:c>
      <x:c r="J474" t="str">
        <x:f>Raw_Orders!G474</x:f>
        <x:v>Partner</x:v>
      </x:c>
      <x:c r="K474" t="n">
        <x:f>Raw_Orders!E474</x:f>
        <x:v>3</x:v>
      </x:c>
      <x:c r="L474" s="12" t="n">
        <x:f>Raw_Orders!F474</x:f>
        <x:v>0.05</x:v>
      </x:c>
      <x:c r="M474" s="14" t="n">
        <x:f>INDEX(Products!$D$2:$D$13,MATCH(G474,Products!$A$2:$A$13,0))</x:f>
        <x:v>85</x:v>
      </x:c>
      <x:c r="N474" s="14" t="n">
        <x:f>INDEX(Products!$E$2:$E$13,MATCH(G474,Products!$A$2:$A$13,0))</x:f>
        <x:v>42</x:v>
      </x:c>
      <x:c r="O474" s="14" t="n">
        <x:f>K474*M474</x:f>
        <x:v>255</x:v>
      </x:c>
      <x:c r="P474" s="14" t="n">
        <x:f>O474*(1-L474)</x:f>
        <x:v>242.25</x:v>
      </x:c>
      <x:c r="Q474" s="14" t="n">
        <x:f>K474*N474</x:f>
        <x:v>126</x:v>
      </x:c>
      <x:c r="R474" s="14" t="n">
        <x:f>P474-Q474</x:f>
        <x:v>116.25</x:v>
      </x:c>
      <x:c r="S474" s="16" t="n">
        <x:f>IFERROR(R474/P474,0)</x:f>
        <x:v>0.47987616099071206</x:v>
      </x:c>
    </x:row>
    <x:row r="475" ht="15" hidden="0" customHeight="1">
      <x:c r="A475" t="str">
        <x:f>Raw_Orders!A475</x:f>
        <x:v>O0474</x:v>
      </x:c>
      <x:c r="B475" s="10" t="n">
        <x:f>Raw_Orders!B475</x:f>
        <x:v>45936</x:v>
      </x:c>
      <x:c r="C475" t="str">
        <x:f>Raw_Orders!C475</x:f>
        <x:v>C055</x:v>
      </x:c>
      <x:c r="D475" t="str">
        <x:f>INDEX(Customers!$B$2:$B$81,MATCH(C475,Customers!$A$2:$A$81,0))</x:f>
        <x:v>Customer 55</x:v>
      </x:c>
      <x:c r="E475" t="str">
        <x:f>INDEX(Customers!$C$2:$C$81,MATCH(C475,Customers!$A$2:$A$81,0))</x:f>
        <x:v>Consumer</x:v>
      </x:c>
      <x:c r="F475" t="str">
        <x:f>INDEX(Customers!$D$2:$D$81,MATCH(C475,Customers!$A$2:$A$81,0))</x:f>
        <x:v>East</x:v>
      </x:c>
      <x:c r="G475" t="str">
        <x:f>Raw_Orders!D475</x:f>
        <x:v>P009</x:v>
      </x:c>
      <x:c r="H475" t="str">
        <x:f>INDEX(Products!$B$2:$B$13,MATCH(G475,Products!$A$2:$A$13,0))</x:f>
        <x:v>Desk Lamp</x:v>
      </x:c>
      <x:c r="I475" t="str">
        <x:f>INDEX(Products!$C$2:$C$13,MATCH(G475,Products!$A$2:$A$13,0))</x:f>
        <x:v>Office</x:v>
      </x:c>
      <x:c r="J475" t="str">
        <x:f>Raw_Orders!G475</x:f>
        <x:v>Online</x:v>
      </x:c>
      <x:c r="K475" t="n">
        <x:f>Raw_Orders!E475</x:f>
        <x:v>4</x:v>
      </x:c>
      <x:c r="L475" s="12" t="n">
        <x:f>Raw_Orders!F475</x:f>
        <x:v>0</x:v>
      </x:c>
      <x:c r="M475" s="14" t="n">
        <x:f>INDEX(Products!$D$2:$D$13,MATCH(G475,Products!$A$2:$A$13,0))</x:f>
        <x:v>70</x:v>
      </x:c>
      <x:c r="N475" s="14" t="n">
        <x:f>INDEX(Products!$E$2:$E$13,MATCH(G475,Products!$A$2:$A$13,0))</x:f>
        <x:v>29</x:v>
      </x:c>
      <x:c r="O475" s="14" t="n">
        <x:f>K475*M475</x:f>
        <x:v>280</x:v>
      </x:c>
      <x:c r="P475" s="14" t="n">
        <x:f>O475*(1-L475)</x:f>
        <x:v>280</x:v>
      </x:c>
      <x:c r="Q475" s="14" t="n">
        <x:f>K475*N475</x:f>
        <x:v>116</x:v>
      </x:c>
      <x:c r="R475" s="14" t="n">
        <x:f>P475-Q475</x:f>
        <x:v>164</x:v>
      </x:c>
      <x:c r="S475" s="16" t="n">
        <x:f>IFERROR(R475/P475,0)</x:f>
        <x:v>0.5857142857142857</x:v>
      </x:c>
    </x:row>
    <x:row r="476" ht="15" hidden="0" customHeight="1">
      <x:c r="A476" t="str">
        <x:f>Raw_Orders!A476</x:f>
        <x:v>O0475</x:v>
      </x:c>
      <x:c r="B476" s="10" t="n">
        <x:f>Raw_Orders!B476</x:f>
        <x:v>45893</x:v>
      </x:c>
      <x:c r="C476" t="str">
        <x:f>Raw_Orders!C476</x:f>
        <x:v>C045</x:v>
      </x:c>
      <x:c r="D476" t="str">
        <x:f>INDEX(Customers!$B$2:$B$81,MATCH(C476,Customers!$A$2:$A$81,0))</x:f>
        <x:v>Customer 45</x:v>
      </x:c>
      <x:c r="E476" t="str">
        <x:f>INDEX(Customers!$C$2:$C$81,MATCH(C476,Customers!$A$2:$A$81,0))</x:f>
        <x:v>Small Business</x:v>
      </x:c>
      <x:c r="F476" t="str">
        <x:f>INDEX(Customers!$D$2:$D$81,MATCH(C476,Customers!$A$2:$A$81,0))</x:f>
        <x:v>North</x:v>
      </x:c>
      <x:c r="G476" t="str">
        <x:f>Raw_Orders!D476</x:f>
        <x:v>P003</x:v>
      </x:c>
      <x:c r="H476" t="str">
        <x:f>INDEX(Products!$B$2:$B$13,MATCH(G476,Products!$A$2:$A$13,0))</x:f>
        <x:v>USB-C Hub</x:v>
      </x:c>
      <x:c r="I476" t="str">
        <x:f>INDEX(Products!$C$2:$C$13,MATCH(G476,Products!$A$2:$A$13,0))</x:f>
        <x:v>Accessories</x:v>
      </x:c>
      <x:c r="J476" t="str">
        <x:f>Raw_Orders!G476</x:f>
        <x:v>Partner</x:v>
      </x:c>
      <x:c r="K476" t="n">
        <x:f>Raw_Orders!E476</x:f>
        <x:v>3</x:v>
      </x:c>
      <x:c r="L476" s="12" t="n">
        <x:f>Raw_Orders!F476</x:f>
        <x:v>0</x:v>
      </x:c>
      <x:c r="M476" s="14" t="n">
        <x:f>INDEX(Products!$D$2:$D$13,MATCH(G476,Products!$A$2:$A$13,0))</x:f>
        <x:v>65</x:v>
      </x:c>
      <x:c r="N476" s="14" t="n">
        <x:f>INDEX(Products!$E$2:$E$13,MATCH(G476,Products!$A$2:$A$13,0))</x:f>
        <x:v>31</x:v>
      </x:c>
      <x:c r="O476" s="14" t="n">
        <x:f>K476*M476</x:f>
        <x:v>195</x:v>
      </x:c>
      <x:c r="P476" s="14" t="n">
        <x:f>O476*(1-L476)</x:f>
        <x:v>195</x:v>
      </x:c>
      <x:c r="Q476" s="14" t="n">
        <x:f>K476*N476</x:f>
        <x:v>93</x:v>
      </x:c>
      <x:c r="R476" s="14" t="n">
        <x:f>P476-Q476</x:f>
        <x:v>102</x:v>
      </x:c>
      <x:c r="S476" s="16" t="n">
        <x:f>IFERROR(R476/P476,0)</x:f>
        <x:v>0.5230769230769231</x:v>
      </x:c>
    </x:row>
    <x:row r="477" ht="15" hidden="0" customHeight="1">
      <x:c r="A477" t="str">
        <x:f>Raw_Orders!A477</x:f>
        <x:v>O0476</x:v>
      </x:c>
      <x:c r="B477" s="10" t="n">
        <x:f>Raw_Orders!B477</x:f>
        <x:v>45715</x:v>
      </x:c>
      <x:c r="C477" t="str">
        <x:f>Raw_Orders!C477</x:f>
        <x:v>C005</x:v>
      </x:c>
      <x:c r="D477" t="str">
        <x:f>INDEX(Customers!$B$2:$B$81,MATCH(C477,Customers!$A$2:$A$81,0))</x:f>
        <x:v>Customer 05</x:v>
      </x:c>
      <x:c r="E477" t="str">
        <x:f>INDEX(Customers!$C$2:$C$81,MATCH(C477,Customers!$A$2:$A$81,0))</x:f>
        <x:v>Corporate</x:v>
      </x:c>
      <x:c r="F477" t="str">
        <x:f>INDEX(Customers!$D$2:$D$81,MATCH(C477,Customers!$A$2:$A$81,0))</x:f>
        <x:v>North</x:v>
      </x:c>
      <x:c r="G477" t="str">
        <x:f>Raw_Orders!D477</x:f>
        <x:v>P011</x:v>
      </x:c>
      <x:c r="H477" t="str">
        <x:f>INDEX(Products!$B$2:$B$13,MATCH(G477,Products!$A$2:$A$13,0))</x:f>
        <x:v>External HDD</x:v>
      </x:c>
      <x:c r="I477" t="str">
        <x:f>INDEX(Products!$C$2:$C$13,MATCH(G477,Products!$A$2:$A$13,0))</x:f>
        <x:v>Storage</x:v>
      </x:c>
      <x:c r="J477" t="str">
        <x:f>Raw_Orders!G477</x:f>
        <x:v>Online</x:v>
      </x:c>
      <x:c r="K477" t="n">
        <x:f>Raw_Orders!E477</x:f>
        <x:v>4</x:v>
      </x:c>
      <x:c r="L477" s="12" t="n">
        <x:f>Raw_Orders!F477</x:f>
        <x:v>0.1</x:v>
      </x:c>
      <x:c r="M477" s="14" t="n">
        <x:f>INDEX(Products!$D$2:$D$13,MATCH(G477,Products!$A$2:$A$13,0))</x:f>
        <x:v>120</x:v>
      </x:c>
      <x:c r="N477" s="14" t="n">
        <x:f>INDEX(Products!$E$2:$E$13,MATCH(G477,Products!$A$2:$A$13,0))</x:f>
        <x:v>72</x:v>
      </x:c>
      <x:c r="O477" s="14" t="n">
        <x:f>K477*M477</x:f>
        <x:v>480</x:v>
      </x:c>
      <x:c r="P477" s="14" t="n">
        <x:f>O477*(1-L477)</x:f>
        <x:v>432</x:v>
      </x:c>
      <x:c r="Q477" s="14" t="n">
        <x:f>K477*N477</x:f>
        <x:v>288</x:v>
      </x:c>
      <x:c r="R477" s="14" t="n">
        <x:f>P477-Q477</x:f>
        <x:v>144</x:v>
      </x:c>
      <x:c r="S477" s="16" t="n">
        <x:f>IFERROR(R477/P477,0)</x:f>
        <x:v>0.3333333333333333</x:v>
      </x:c>
    </x:row>
    <x:row r="478" ht="15" hidden="0" customHeight="1">
      <x:c r="A478" t="str">
        <x:f>Raw_Orders!A478</x:f>
        <x:v>O0477</x:v>
      </x:c>
      <x:c r="B478" s="10" t="n">
        <x:f>Raw_Orders!B478</x:f>
        <x:v>45781</x:v>
      </x:c>
      <x:c r="C478" t="str">
        <x:f>Raw_Orders!C478</x:f>
        <x:v>C027</x:v>
      </x:c>
      <x:c r="D478" t="str">
        <x:f>INDEX(Customers!$B$2:$B$81,MATCH(C478,Customers!$A$2:$A$81,0))</x:f>
        <x:v>Customer 27</x:v>
      </x:c>
      <x:c r="E478" t="str">
        <x:f>INDEX(Customers!$C$2:$C$81,MATCH(C478,Customers!$A$2:$A$81,0))</x:f>
        <x:v>Small Business</x:v>
      </x:c>
      <x:c r="F478" t="str">
        <x:f>INDEX(Customers!$D$2:$D$81,MATCH(C478,Customers!$A$2:$A$81,0))</x:f>
        <x:v>East</x:v>
      </x:c>
      <x:c r="G478" t="str">
        <x:f>Raw_Orders!D478</x:f>
        <x:v>P002</x:v>
      </x:c>
      <x:c r="H478" t="str">
        <x:f>INDEX(Products!$B$2:$B$13,MATCH(G478,Products!$A$2:$A$13,0))</x:f>
        <x:v>Mechanical Keyboard</x:v>
      </x:c>
      <x:c r="I478" t="str">
        <x:f>INDEX(Products!$C$2:$C$13,MATCH(G478,Products!$A$2:$A$13,0))</x:f>
        <x:v>Accessories</x:v>
      </x:c>
      <x:c r="J478" t="str">
        <x:f>Raw_Orders!G478</x:f>
        <x:v>Online</x:v>
      </x:c>
      <x:c r="K478" t="n">
        <x:f>Raw_Orders!E478</x:f>
        <x:v>1</x:v>
      </x:c>
      <x:c r="L478" s="12" t="n">
        <x:f>Raw_Orders!F478</x:f>
        <x:v>0.1</x:v>
      </x:c>
      <x:c r="M478" s="14" t="n">
        <x:f>INDEX(Products!$D$2:$D$13,MATCH(G478,Products!$A$2:$A$13,0))</x:f>
        <x:v>110</x:v>
      </x:c>
      <x:c r="N478" s="14" t="n">
        <x:f>INDEX(Products!$E$2:$E$13,MATCH(G478,Products!$A$2:$A$13,0))</x:f>
        <x:v>58</x:v>
      </x:c>
      <x:c r="O478" s="14" t="n">
        <x:f>K478*M478</x:f>
        <x:v>110</x:v>
      </x:c>
      <x:c r="P478" s="14" t="n">
        <x:f>O478*(1-L478)</x:f>
        <x:v>99</x:v>
      </x:c>
      <x:c r="Q478" s="14" t="n">
        <x:f>K478*N478</x:f>
        <x:v>58</x:v>
      </x:c>
      <x:c r="R478" s="14" t="n">
        <x:f>P478-Q478</x:f>
        <x:v>41</x:v>
      </x:c>
      <x:c r="S478" s="16" t="n">
        <x:f>IFERROR(R478/P478,0)</x:f>
        <x:v>0.41414141414141414</x:v>
      </x:c>
    </x:row>
    <x:row r="479" ht="15" hidden="0" customHeight="1">
      <x:c r="A479" t="str">
        <x:f>Raw_Orders!A479</x:f>
        <x:v>O0478</x:v>
      </x:c>
      <x:c r="B479" s="10" t="n">
        <x:f>Raw_Orders!B479</x:f>
        <x:v>45886</x:v>
      </x:c>
      <x:c r="C479" t="str">
        <x:f>Raw_Orders!C479</x:f>
        <x:v>C077</x:v>
      </x:c>
      <x:c r="D479" t="str">
        <x:f>INDEX(Customers!$B$2:$B$81,MATCH(C479,Customers!$A$2:$A$81,0))</x:f>
        <x:v>Customer 77</x:v>
      </x:c>
      <x:c r="E479" t="str">
        <x:f>INDEX(Customers!$C$2:$C$81,MATCH(C479,Customers!$A$2:$A$81,0))</x:f>
        <x:v>Corporate</x:v>
      </x:c>
      <x:c r="F479" t="str">
        <x:f>INDEX(Customers!$D$2:$D$81,MATCH(C479,Customers!$A$2:$A$81,0))</x:f>
        <x:v>North</x:v>
      </x:c>
      <x:c r="G479" t="str">
        <x:f>Raw_Orders!D479</x:f>
        <x:v>P011</x:v>
      </x:c>
      <x:c r="H479" t="str">
        <x:f>INDEX(Products!$B$2:$B$13,MATCH(G479,Products!$A$2:$A$13,0))</x:f>
        <x:v>External HDD</x:v>
      </x:c>
      <x:c r="I479" t="str">
        <x:f>INDEX(Products!$C$2:$C$13,MATCH(G479,Products!$A$2:$A$13,0))</x:f>
        <x:v>Storage</x:v>
      </x:c>
      <x:c r="J479" t="str">
        <x:f>Raw_Orders!G479</x:f>
        <x:v>Online</x:v>
      </x:c>
      <x:c r="K479" t="n">
        <x:f>Raw_Orders!E479</x:f>
        <x:v>6</x:v>
      </x:c>
      <x:c r="L479" s="12" t="n">
        <x:f>Raw_Orders!F479</x:f>
        <x:v>0</x:v>
      </x:c>
      <x:c r="M479" s="14" t="n">
        <x:f>INDEX(Products!$D$2:$D$13,MATCH(G479,Products!$A$2:$A$13,0))</x:f>
        <x:v>120</x:v>
      </x:c>
      <x:c r="N479" s="14" t="n">
        <x:f>INDEX(Products!$E$2:$E$13,MATCH(G479,Products!$A$2:$A$13,0))</x:f>
        <x:v>72</x:v>
      </x:c>
      <x:c r="O479" s="14" t="n">
        <x:f>K479*M479</x:f>
        <x:v>720</x:v>
      </x:c>
      <x:c r="P479" s="14" t="n">
        <x:f>O479*(1-L479)</x:f>
        <x:v>720</x:v>
      </x:c>
      <x:c r="Q479" s="14" t="n">
        <x:f>K479*N479</x:f>
        <x:v>432</x:v>
      </x:c>
      <x:c r="R479" s="14" t="n">
        <x:f>P479-Q479</x:f>
        <x:v>288</x:v>
      </x:c>
      <x:c r="S479" s="16" t="n">
        <x:f>IFERROR(R479/P479,0)</x:f>
        <x:v>0.4</x:v>
      </x:c>
    </x:row>
    <x:row r="480" ht="15" hidden="0" customHeight="1">
      <x:c r="A480" t="str">
        <x:f>Raw_Orders!A480</x:f>
        <x:v>O0479</x:v>
      </x:c>
      <x:c r="B480" s="10" t="n">
        <x:f>Raw_Orders!B480</x:f>
        <x:v>45680</x:v>
      </x:c>
      <x:c r="C480" t="str">
        <x:f>Raw_Orders!C480</x:f>
        <x:v>C052</x:v>
      </x:c>
      <x:c r="D480" t="str">
        <x:f>INDEX(Customers!$B$2:$B$81,MATCH(C480,Customers!$A$2:$A$81,0))</x:f>
        <x:v>Customer 52</x:v>
      </x:c>
      <x:c r="E480" t="str">
        <x:f>INDEX(Customers!$C$2:$C$81,MATCH(C480,Customers!$A$2:$A$81,0))</x:f>
        <x:v>Consumer</x:v>
      </x:c>
      <x:c r="F480" t="str">
        <x:f>INDEX(Customers!$D$2:$D$81,MATCH(C480,Customers!$A$2:$A$81,0))</x:f>
        <x:v>West</x:v>
      </x:c>
      <x:c r="G480" t="str">
        <x:f>Raw_Orders!D480</x:f>
        <x:v>P008</x:v>
      </x:c>
      <x:c r="H480" t="str">
        <x:f>INDEX(Products!$B$2:$B$13,MATCH(G480,Products!$A$2:$A$13,0))</x:f>
        <x:v>Webcam</x:v>
      </x:c>
      <x:c r="I480" t="str">
        <x:f>INDEX(Products!$C$2:$C$13,MATCH(G480,Products!$A$2:$A$13,0))</x:f>
        <x:v>Accessories</x:v>
      </x:c>
      <x:c r="J480" t="str">
        <x:f>Raw_Orders!G480</x:f>
        <x:v>Online</x:v>
      </x:c>
      <x:c r="K480" t="n">
        <x:f>Raw_Orders!E480</x:f>
        <x:v>2</x:v>
      </x:c>
      <x:c r="L480" s="12" t="n">
        <x:f>Raw_Orders!F480</x:f>
        <x:v>0.1</x:v>
      </x:c>
      <x:c r="M480" s="14" t="n">
        <x:f>INDEX(Products!$D$2:$D$13,MATCH(G480,Products!$A$2:$A$13,0))</x:f>
        <x:v>95</x:v>
      </x:c>
      <x:c r="N480" s="14" t="n">
        <x:f>INDEX(Products!$E$2:$E$13,MATCH(G480,Products!$A$2:$A$13,0))</x:f>
        <x:v>49</x:v>
      </x:c>
      <x:c r="O480" s="14" t="n">
        <x:f>K480*M480</x:f>
        <x:v>190</x:v>
      </x:c>
      <x:c r="P480" s="14" t="n">
        <x:f>O480*(1-L480)</x:f>
        <x:v>171</x:v>
      </x:c>
      <x:c r="Q480" s="14" t="n">
        <x:f>K480*N480</x:f>
        <x:v>98</x:v>
      </x:c>
      <x:c r="R480" s="14" t="n">
        <x:f>P480-Q480</x:f>
        <x:v>73</x:v>
      </x:c>
      <x:c r="S480" s="16" t="n">
        <x:f>IFERROR(R480/P480,0)</x:f>
        <x:v>0.4269005847953216</x:v>
      </x:c>
    </x:row>
    <x:row r="481" ht="15" hidden="0" customHeight="1">
      <x:c r="A481" t="str">
        <x:f>Raw_Orders!A481</x:f>
        <x:v>O0480</x:v>
      </x:c>
      <x:c r="B481" s="10" t="n">
        <x:f>Raw_Orders!B481</x:f>
        <x:v>45686</x:v>
      </x:c>
      <x:c r="C481" t="str">
        <x:f>Raw_Orders!C481</x:f>
        <x:v>C018</x:v>
      </x:c>
      <x:c r="D481" t="str">
        <x:f>INDEX(Customers!$B$2:$B$81,MATCH(C481,Customers!$A$2:$A$81,0))</x:f>
        <x:v>Customer 18</x:v>
      </x:c>
      <x:c r="E481" t="str">
        <x:f>INDEX(Customers!$C$2:$C$81,MATCH(C481,Customers!$A$2:$A$81,0))</x:f>
        <x:v>Small Business</x:v>
      </x:c>
      <x:c r="F481" t="str">
        <x:f>INDEX(Customers!$D$2:$D$81,MATCH(C481,Customers!$A$2:$A$81,0))</x:f>
        <x:v>South</x:v>
      </x:c>
      <x:c r="G481" t="str">
        <x:f>Raw_Orders!D481</x:f>
        <x:v>P009</x:v>
      </x:c>
      <x:c r="H481" t="str">
        <x:f>INDEX(Products!$B$2:$B$13,MATCH(G481,Products!$A$2:$A$13,0))</x:f>
        <x:v>Desk Lamp</x:v>
      </x:c>
      <x:c r="I481" t="str">
        <x:f>INDEX(Products!$C$2:$C$13,MATCH(G481,Products!$A$2:$A$13,0))</x:f>
        <x:v>Office</x:v>
      </x:c>
      <x:c r="J481" t="str">
        <x:f>Raw_Orders!G481</x:f>
        <x:v>Partner</x:v>
      </x:c>
      <x:c r="K481" t="n">
        <x:f>Raw_Orders!E481</x:f>
        <x:v>3</x:v>
      </x:c>
      <x:c r="L481" s="12" t="n">
        <x:f>Raw_Orders!F481</x:f>
        <x:v>0</x:v>
      </x:c>
      <x:c r="M481" s="14" t="n">
        <x:f>INDEX(Products!$D$2:$D$13,MATCH(G481,Products!$A$2:$A$13,0))</x:f>
        <x:v>70</x:v>
      </x:c>
      <x:c r="N481" s="14" t="n">
        <x:f>INDEX(Products!$E$2:$E$13,MATCH(G481,Products!$A$2:$A$13,0))</x:f>
        <x:v>29</x:v>
      </x:c>
      <x:c r="O481" s="14" t="n">
        <x:f>K481*M481</x:f>
        <x:v>210</x:v>
      </x:c>
      <x:c r="P481" s="14" t="n">
        <x:f>O481*(1-L481)</x:f>
        <x:v>210</x:v>
      </x:c>
      <x:c r="Q481" s="14" t="n">
        <x:f>K481*N481</x:f>
        <x:v>87</x:v>
      </x:c>
      <x:c r="R481" s="14" t="n">
        <x:f>P481-Q481</x:f>
        <x:v>123</x:v>
      </x:c>
      <x:c r="S481" s="16" t="n">
        <x:f>IFERROR(R481/P481,0)</x:f>
        <x:v>0.5857142857142857</x:v>
      </x:c>
    </x:row>
    <x:row r="482" ht="15" hidden="0" customHeight="1">
      <x:c r="A482" t="str">
        <x:f>Raw_Orders!A482</x:f>
        <x:v>O0481</x:v>
      </x:c>
      <x:c r="B482" s="10" t="n">
        <x:f>Raw_Orders!B482</x:f>
        <x:v>45952</x:v>
      </x:c>
      <x:c r="C482" t="str">
        <x:f>Raw_Orders!C482</x:f>
        <x:v>C041</x:v>
      </x:c>
      <x:c r="D482" t="str">
        <x:f>INDEX(Customers!$B$2:$B$81,MATCH(C482,Customers!$A$2:$A$81,0))</x:f>
        <x:v>Customer 41</x:v>
      </x:c>
      <x:c r="E482" t="str">
        <x:f>INDEX(Customers!$C$2:$C$81,MATCH(C482,Customers!$A$2:$A$81,0))</x:f>
        <x:v>Corporate</x:v>
      </x:c>
      <x:c r="F482" t="str">
        <x:f>INDEX(Customers!$D$2:$D$81,MATCH(C482,Customers!$A$2:$A$81,0))</x:f>
        <x:v>North</x:v>
      </x:c>
      <x:c r="G482" t="str">
        <x:f>Raw_Orders!D482</x:f>
        <x:v>P010</x:v>
      </x:c>
      <x:c r="H482" t="str">
        <x:f>INDEX(Products!$B$2:$B$13,MATCH(G482,Products!$A$2:$A$13,0))</x:f>
        <x:v>Portable SSD</x:v>
      </x:c>
      <x:c r="I482" t="str">
        <x:f>INDEX(Products!$C$2:$C$13,MATCH(G482,Products!$A$2:$A$13,0))</x:f>
        <x:v>Storage</x:v>
      </x:c>
      <x:c r="J482" t="str">
        <x:f>Raw_Orders!G482</x:f>
        <x:v>Retail</x:v>
      </x:c>
      <x:c r="K482" t="n">
        <x:f>Raw_Orders!E482</x:f>
        <x:v>5</x:v>
      </x:c>
      <x:c r="L482" s="12" t="n">
        <x:f>Raw_Orders!F482</x:f>
        <x:v>0.15</x:v>
      </x:c>
      <x:c r="M482" s="14" t="n">
        <x:f>INDEX(Products!$D$2:$D$13,MATCH(G482,Products!$A$2:$A$13,0))</x:f>
        <x:v>145</x:v>
      </x:c>
      <x:c r="N482" s="14" t="n">
        <x:f>INDEX(Products!$E$2:$E$13,MATCH(G482,Products!$A$2:$A$13,0))</x:f>
        <x:v>86</x:v>
      </x:c>
      <x:c r="O482" s="14" t="n">
        <x:f>K482*M482</x:f>
        <x:v>725</x:v>
      </x:c>
      <x:c r="P482" s="14" t="n">
        <x:f>O482*(1-L482)</x:f>
        <x:v>616.25</x:v>
      </x:c>
      <x:c r="Q482" s="14" t="n">
        <x:f>K482*N482</x:f>
        <x:v>430</x:v>
      </x:c>
      <x:c r="R482" s="14" t="n">
        <x:f>P482-Q482</x:f>
        <x:v>186.25</x:v>
      </x:c>
      <x:c r="S482" s="16" t="n">
        <x:f>IFERROR(R482/P482,0)</x:f>
        <x:v>0.3022312373225152</x:v>
      </x:c>
    </x:row>
    <x:row r="483" ht="15" hidden="0" customHeight="1">
      <x:c r="A483" t="str">
        <x:f>Raw_Orders!A483</x:f>
        <x:v>O0482</x:v>
      </x:c>
      <x:c r="B483" s="10" t="n">
        <x:f>Raw_Orders!B483</x:f>
        <x:v>45779</x:v>
      </x:c>
      <x:c r="C483" t="str">
        <x:f>Raw_Orders!C483</x:f>
        <x:v>C039</x:v>
      </x:c>
      <x:c r="D483" t="str">
        <x:f>INDEX(Customers!$B$2:$B$81,MATCH(C483,Customers!$A$2:$A$81,0))</x:f>
        <x:v>Customer 39</x:v>
      </x:c>
      <x:c r="E483" t="str">
        <x:f>INDEX(Customers!$C$2:$C$81,MATCH(C483,Customers!$A$2:$A$81,0))</x:f>
        <x:v>Small Business</x:v>
      </x:c>
      <x:c r="F483" t="str">
        <x:f>INDEX(Customers!$D$2:$D$81,MATCH(C483,Customers!$A$2:$A$81,0))</x:f>
        <x:v>East</x:v>
      </x:c>
      <x:c r="G483" t="str">
        <x:f>Raw_Orders!D483</x:f>
        <x:v>P003</x:v>
      </x:c>
      <x:c r="H483" t="str">
        <x:f>INDEX(Products!$B$2:$B$13,MATCH(G483,Products!$A$2:$A$13,0))</x:f>
        <x:v>USB-C Hub</x:v>
      </x:c>
      <x:c r="I483" t="str">
        <x:f>INDEX(Products!$C$2:$C$13,MATCH(G483,Products!$A$2:$A$13,0))</x:f>
        <x:v>Accessories</x:v>
      </x:c>
      <x:c r="J483" t="str">
        <x:f>Raw_Orders!G483</x:f>
        <x:v>Online</x:v>
      </x:c>
      <x:c r="K483" t="n">
        <x:f>Raw_Orders!E483</x:f>
        <x:v>6</x:v>
      </x:c>
      <x:c r="L483" s="12" t="n">
        <x:f>Raw_Orders!F483</x:f>
        <x:v>0.1</x:v>
      </x:c>
      <x:c r="M483" s="14" t="n">
        <x:f>INDEX(Products!$D$2:$D$13,MATCH(G483,Products!$A$2:$A$13,0))</x:f>
        <x:v>65</x:v>
      </x:c>
      <x:c r="N483" s="14" t="n">
        <x:f>INDEX(Products!$E$2:$E$13,MATCH(G483,Products!$A$2:$A$13,0))</x:f>
        <x:v>31</x:v>
      </x:c>
      <x:c r="O483" s="14" t="n">
        <x:f>K483*M483</x:f>
        <x:v>390</x:v>
      </x:c>
      <x:c r="P483" s="14" t="n">
        <x:f>O483*(1-L483)</x:f>
        <x:v>351</x:v>
      </x:c>
      <x:c r="Q483" s="14" t="n">
        <x:f>K483*N483</x:f>
        <x:v>186</x:v>
      </x:c>
      <x:c r="R483" s="14" t="n">
        <x:f>P483-Q483</x:f>
        <x:v>165</x:v>
      </x:c>
      <x:c r="S483" s="16" t="n">
        <x:f>IFERROR(R483/P483,0)</x:f>
        <x:v>0.4700854700854701</x:v>
      </x:c>
    </x:row>
    <x:row r="484" ht="15" hidden="0" customHeight="1">
      <x:c r="A484" t="str">
        <x:f>Raw_Orders!A484</x:f>
        <x:v>O0483</x:v>
      </x:c>
      <x:c r="B484" s="10" t="n">
        <x:f>Raw_Orders!B484</x:f>
        <x:v>45869</x:v>
      </x:c>
      <x:c r="C484" t="str">
        <x:f>Raw_Orders!C484</x:f>
        <x:v>C039</x:v>
      </x:c>
      <x:c r="D484" t="str">
        <x:f>INDEX(Customers!$B$2:$B$81,MATCH(C484,Customers!$A$2:$A$81,0))</x:f>
        <x:v>Customer 39</x:v>
      </x:c>
      <x:c r="E484" t="str">
        <x:f>INDEX(Customers!$C$2:$C$81,MATCH(C484,Customers!$A$2:$A$81,0))</x:f>
        <x:v>Small Business</x:v>
      </x:c>
      <x:c r="F484" t="str">
        <x:f>INDEX(Customers!$D$2:$D$81,MATCH(C484,Customers!$A$2:$A$81,0))</x:f>
        <x:v>East</x:v>
      </x:c>
      <x:c r="G484" t="str">
        <x:f>Raw_Orders!D484</x:f>
        <x:v>P005</x:v>
      </x:c>
      <x:c r="H484" t="str">
        <x:f>INDEX(Products!$B$2:$B$13,MATCH(G484,Products!$A$2:$A$13,0))</x:f>
        <x:v>27in Monitor</x:v>
      </x:c>
      <x:c r="I484" t="str">
        <x:f>INDEX(Products!$C$2:$C$13,MATCH(G484,Products!$A$2:$A$13,0))</x:f>
        <x:v>Displays</x:v>
      </x:c>
      <x:c r="J484" t="str">
        <x:f>Raw_Orders!G484</x:f>
        <x:v>Partner</x:v>
      </x:c>
      <x:c r="K484" t="n">
        <x:f>Raw_Orders!E484</x:f>
        <x:v>1</x:v>
      </x:c>
      <x:c r="L484" s="12" t="n">
        <x:f>Raw_Orders!F484</x:f>
        <x:v>0.1</x:v>
      </x:c>
      <x:c r="M484" s="14" t="n">
        <x:f>INDEX(Products!$D$2:$D$13,MATCH(G484,Products!$A$2:$A$13,0))</x:f>
        <x:v>310</x:v>
      </x:c>
      <x:c r="N484" s="14" t="n">
        <x:f>INDEX(Products!$E$2:$E$13,MATCH(G484,Products!$A$2:$A$13,0))</x:f>
        <x:v>205</x:v>
      </x:c>
      <x:c r="O484" s="14" t="n">
        <x:f>K484*M484</x:f>
        <x:v>310</x:v>
      </x:c>
      <x:c r="P484" s="14" t="n">
        <x:f>O484*(1-L484)</x:f>
        <x:v>279</x:v>
      </x:c>
      <x:c r="Q484" s="14" t="n">
        <x:f>K484*N484</x:f>
        <x:v>205</x:v>
      </x:c>
      <x:c r="R484" s="14" t="n">
        <x:f>P484-Q484</x:f>
        <x:v>74</x:v>
      </x:c>
      <x:c r="S484" s="16" t="n">
        <x:f>IFERROR(R484/P484,0)</x:f>
        <x:v>0.26523297491039427</x:v>
      </x:c>
    </x:row>
    <x:row r="485" ht="15" hidden="0" customHeight="1">
      <x:c r="A485" t="str">
        <x:f>Raw_Orders!A485</x:f>
        <x:v>O0484</x:v>
      </x:c>
      <x:c r="B485" s="10" t="n">
        <x:f>Raw_Orders!B485</x:f>
        <x:v>45747</x:v>
      </x:c>
      <x:c r="C485" t="str">
        <x:f>Raw_Orders!C485</x:f>
        <x:v>C055</x:v>
      </x:c>
      <x:c r="D485" t="str">
        <x:f>INDEX(Customers!$B$2:$B$81,MATCH(C485,Customers!$A$2:$A$81,0))</x:f>
        <x:v>Customer 55</x:v>
      </x:c>
      <x:c r="E485" t="str">
        <x:f>INDEX(Customers!$C$2:$C$81,MATCH(C485,Customers!$A$2:$A$81,0))</x:f>
        <x:v>Consumer</x:v>
      </x:c>
      <x:c r="F485" t="str">
        <x:f>INDEX(Customers!$D$2:$D$81,MATCH(C485,Customers!$A$2:$A$81,0))</x:f>
        <x:v>East</x:v>
      </x:c>
      <x:c r="G485" t="str">
        <x:f>Raw_Orders!D485</x:f>
        <x:v>P009</x:v>
      </x:c>
      <x:c r="H485" t="str">
        <x:f>INDEX(Products!$B$2:$B$13,MATCH(G485,Products!$A$2:$A$13,0))</x:f>
        <x:v>Desk Lamp</x:v>
      </x:c>
      <x:c r="I485" t="str">
        <x:f>INDEX(Products!$C$2:$C$13,MATCH(G485,Products!$A$2:$A$13,0))</x:f>
        <x:v>Office</x:v>
      </x:c>
      <x:c r="J485" t="str">
        <x:f>Raw_Orders!G485</x:f>
        <x:v>Retail</x:v>
      </x:c>
      <x:c r="K485" t="n">
        <x:f>Raw_Orders!E485</x:f>
        <x:v>4</x:v>
      </x:c>
      <x:c r="L485" s="12" t="n">
        <x:f>Raw_Orders!F485</x:f>
        <x:v>0</x:v>
      </x:c>
      <x:c r="M485" s="14" t="n">
        <x:f>INDEX(Products!$D$2:$D$13,MATCH(G485,Products!$A$2:$A$13,0))</x:f>
        <x:v>70</x:v>
      </x:c>
      <x:c r="N485" s="14" t="n">
        <x:f>INDEX(Products!$E$2:$E$13,MATCH(G485,Products!$A$2:$A$13,0))</x:f>
        <x:v>29</x:v>
      </x:c>
      <x:c r="O485" s="14" t="n">
        <x:f>K485*M485</x:f>
        <x:v>280</x:v>
      </x:c>
      <x:c r="P485" s="14" t="n">
        <x:f>O485*(1-L485)</x:f>
        <x:v>280</x:v>
      </x:c>
      <x:c r="Q485" s="14" t="n">
        <x:f>K485*N485</x:f>
        <x:v>116</x:v>
      </x:c>
      <x:c r="R485" s="14" t="n">
        <x:f>P485-Q485</x:f>
        <x:v>164</x:v>
      </x:c>
      <x:c r="S485" s="16" t="n">
        <x:f>IFERROR(R485/P485,0)</x:f>
        <x:v>0.5857142857142857</x:v>
      </x:c>
    </x:row>
    <x:row r="486" ht="15" hidden="0" customHeight="1">
      <x:c r="A486" t="str">
        <x:f>Raw_Orders!A486</x:f>
        <x:v>O0485</x:v>
      </x:c>
      <x:c r="B486" s="10" t="n">
        <x:f>Raw_Orders!B486</x:f>
        <x:v>45987</x:v>
      </x:c>
      <x:c r="C486" t="str">
        <x:f>Raw_Orders!C486</x:f>
        <x:v>C049</x:v>
      </x:c>
      <x:c r="D486" t="str">
        <x:f>INDEX(Customers!$B$2:$B$81,MATCH(C486,Customers!$A$2:$A$81,0))</x:f>
        <x:v>Customer 49</x:v>
      </x:c>
      <x:c r="E486" t="str">
        <x:f>INDEX(Customers!$C$2:$C$81,MATCH(C486,Customers!$A$2:$A$81,0))</x:f>
        <x:v>Consumer</x:v>
      </x:c>
      <x:c r="F486" t="str">
        <x:f>INDEX(Customers!$D$2:$D$81,MATCH(C486,Customers!$A$2:$A$81,0))</x:f>
        <x:v>North</x:v>
      </x:c>
      <x:c r="G486" t="str">
        <x:f>Raw_Orders!D486</x:f>
        <x:v>P009</x:v>
      </x:c>
      <x:c r="H486" t="str">
        <x:f>INDEX(Products!$B$2:$B$13,MATCH(G486,Products!$A$2:$A$13,0))</x:f>
        <x:v>Desk Lamp</x:v>
      </x:c>
      <x:c r="I486" t="str">
        <x:f>INDEX(Products!$C$2:$C$13,MATCH(G486,Products!$A$2:$A$13,0))</x:f>
        <x:v>Office</x:v>
      </x:c>
      <x:c r="J486" t="str">
        <x:f>Raw_Orders!G486</x:f>
        <x:v>Retail</x:v>
      </x:c>
      <x:c r="K486" t="n">
        <x:f>Raw_Orders!E486</x:f>
        <x:v>3</x:v>
      </x:c>
      <x:c r="L486" s="12" t="n">
        <x:f>Raw_Orders!F486</x:f>
        <x:v>0.15</x:v>
      </x:c>
      <x:c r="M486" s="14" t="n">
        <x:f>INDEX(Products!$D$2:$D$13,MATCH(G486,Products!$A$2:$A$13,0))</x:f>
        <x:v>70</x:v>
      </x:c>
      <x:c r="N486" s="14" t="n">
        <x:f>INDEX(Products!$E$2:$E$13,MATCH(G486,Products!$A$2:$A$13,0))</x:f>
        <x:v>29</x:v>
      </x:c>
      <x:c r="O486" s="14" t="n">
        <x:f>K486*M486</x:f>
        <x:v>210</x:v>
      </x:c>
      <x:c r="P486" s="14" t="n">
        <x:f>O486*(1-L486)</x:f>
        <x:v>178.5</x:v>
      </x:c>
      <x:c r="Q486" s="14" t="n">
        <x:f>K486*N486</x:f>
        <x:v>87</x:v>
      </x:c>
      <x:c r="R486" s="14" t="n">
        <x:f>P486-Q486</x:f>
        <x:v>91.5</x:v>
      </x:c>
      <x:c r="S486" s="16" t="n">
        <x:f>IFERROR(R486/P486,0)</x:f>
        <x:v>0.5126050420168067</x:v>
      </x:c>
    </x:row>
    <x:row r="487" ht="15" hidden="0" customHeight="1">
      <x:c r="A487" t="str">
        <x:f>Raw_Orders!A487</x:f>
        <x:v>O0486</x:v>
      </x:c>
      <x:c r="B487" s="10" t="n">
        <x:f>Raw_Orders!B487</x:f>
        <x:v>45867</x:v>
      </x:c>
      <x:c r="C487" t="str">
        <x:f>Raw_Orders!C487</x:f>
        <x:v>C020</x:v>
      </x:c>
      <x:c r="D487" t="str">
        <x:f>INDEX(Customers!$B$2:$B$81,MATCH(C487,Customers!$A$2:$A$81,0))</x:f>
        <x:v>Customer 20</x:v>
      </x:c>
      <x:c r="E487" t="str">
        <x:f>INDEX(Customers!$C$2:$C$81,MATCH(C487,Customers!$A$2:$A$81,0))</x:f>
        <x:v>Corporate</x:v>
      </x:c>
      <x:c r="F487" t="str">
        <x:f>INDEX(Customers!$D$2:$D$81,MATCH(C487,Customers!$A$2:$A$81,0))</x:f>
        <x:v>West</x:v>
      </x:c>
      <x:c r="G487" t="str">
        <x:f>Raw_Orders!D487</x:f>
        <x:v>P005</x:v>
      </x:c>
      <x:c r="H487" t="str">
        <x:f>INDEX(Products!$B$2:$B$13,MATCH(G487,Products!$A$2:$A$13,0))</x:f>
        <x:v>27in Monitor</x:v>
      </x:c>
      <x:c r="I487" t="str">
        <x:f>INDEX(Products!$C$2:$C$13,MATCH(G487,Products!$A$2:$A$13,0))</x:f>
        <x:v>Displays</x:v>
      </x:c>
      <x:c r="J487" t="str">
        <x:f>Raw_Orders!G487</x:f>
        <x:v>Partner</x:v>
      </x:c>
      <x:c r="K487" t="n">
        <x:f>Raw_Orders!E487</x:f>
        <x:v>4</x:v>
      </x:c>
      <x:c r="L487" s="12" t="n">
        <x:f>Raw_Orders!F487</x:f>
        <x:v>0</x:v>
      </x:c>
      <x:c r="M487" s="14" t="n">
        <x:f>INDEX(Products!$D$2:$D$13,MATCH(G487,Products!$A$2:$A$13,0))</x:f>
        <x:v>310</x:v>
      </x:c>
      <x:c r="N487" s="14" t="n">
        <x:f>INDEX(Products!$E$2:$E$13,MATCH(G487,Products!$A$2:$A$13,0))</x:f>
        <x:v>205</x:v>
      </x:c>
      <x:c r="O487" s="14" t="n">
        <x:f>K487*M487</x:f>
        <x:v>1240</x:v>
      </x:c>
      <x:c r="P487" s="14" t="n">
        <x:f>O487*(1-L487)</x:f>
        <x:v>1240</x:v>
      </x:c>
      <x:c r="Q487" s="14" t="n">
        <x:f>K487*N487</x:f>
        <x:v>820</x:v>
      </x:c>
      <x:c r="R487" s="14" t="n">
        <x:f>P487-Q487</x:f>
        <x:v>420</x:v>
      </x:c>
      <x:c r="S487" s="16" t="n">
        <x:f>IFERROR(R487/P487,0)</x:f>
        <x:v>0.3387096774193548</x:v>
      </x:c>
    </x:row>
    <x:row r="488" ht="15" hidden="0" customHeight="1">
      <x:c r="A488" t="str">
        <x:f>Raw_Orders!A488</x:f>
        <x:v>O0487</x:v>
      </x:c>
      <x:c r="B488" s="10" t="n">
        <x:f>Raw_Orders!B488</x:f>
        <x:v>45900</x:v>
      </x:c>
      <x:c r="C488" t="str">
        <x:f>Raw_Orders!C488</x:f>
        <x:v>C031</x:v>
      </x:c>
      <x:c r="D488" t="str">
        <x:f>INDEX(Customers!$B$2:$B$81,MATCH(C488,Customers!$A$2:$A$81,0))</x:f>
        <x:v>Customer 31</x:v>
      </x:c>
      <x:c r="E488" t="str">
        <x:f>INDEX(Customers!$C$2:$C$81,MATCH(C488,Customers!$A$2:$A$81,0))</x:f>
        <x:v>Consumer</x:v>
      </x:c>
      <x:c r="F488" t="str">
        <x:f>INDEX(Customers!$D$2:$D$81,MATCH(C488,Customers!$A$2:$A$81,0))</x:f>
        <x:v>East</x:v>
      </x:c>
      <x:c r="G488" t="str">
        <x:f>Raw_Orders!D488</x:f>
        <x:v>P004</x:v>
      </x:c>
      <x:c r="H488" t="str">
        <x:f>INDEX(Products!$B$2:$B$13,MATCH(G488,Products!$A$2:$A$13,0))</x:f>
        <x:v>24in Monitor</x:v>
      </x:c>
      <x:c r="I488" t="str">
        <x:f>INDEX(Products!$C$2:$C$13,MATCH(G488,Products!$A$2:$A$13,0))</x:f>
        <x:v>Displays</x:v>
      </x:c>
      <x:c r="J488" t="str">
        <x:f>Raw_Orders!G488</x:f>
        <x:v>Online</x:v>
      </x:c>
      <x:c r="K488" t="n">
        <x:f>Raw_Orders!E488</x:f>
        <x:v>3</x:v>
      </x:c>
      <x:c r="L488" s="12" t="n">
        <x:f>Raw_Orders!F488</x:f>
        <x:v>0.15</x:v>
      </x:c>
      <x:c r="M488" s="14" t="n">
        <x:f>INDEX(Products!$D$2:$D$13,MATCH(G488,Products!$A$2:$A$13,0))</x:f>
        <x:v>220</x:v>
      </x:c>
      <x:c r="N488" s="14" t="n">
        <x:f>INDEX(Products!$E$2:$E$13,MATCH(G488,Products!$A$2:$A$13,0))</x:f>
        <x:v>142</x:v>
      </x:c>
      <x:c r="O488" s="14" t="n">
        <x:f>K488*M488</x:f>
        <x:v>660</x:v>
      </x:c>
      <x:c r="P488" s="14" t="n">
        <x:f>O488*(1-L488)</x:f>
        <x:v>561</x:v>
      </x:c>
      <x:c r="Q488" s="14" t="n">
        <x:f>K488*N488</x:f>
        <x:v>426</x:v>
      </x:c>
      <x:c r="R488" s="14" t="n">
        <x:f>P488-Q488</x:f>
        <x:v>135</x:v>
      </x:c>
      <x:c r="S488" s="16" t="n">
        <x:f>IFERROR(R488/P488,0)</x:f>
        <x:v>0.24064171122994651</x:v>
      </x:c>
    </x:row>
    <x:row r="489" ht="15" hidden="0" customHeight="1">
      <x:c r="A489" t="str">
        <x:f>Raw_Orders!A489</x:f>
        <x:v>O0488</x:v>
      </x:c>
      <x:c r="B489" s="10" t="n">
        <x:f>Raw_Orders!B489</x:f>
        <x:v>45895</x:v>
      </x:c>
      <x:c r="C489" t="str">
        <x:f>Raw_Orders!C489</x:f>
        <x:v>C008</x:v>
      </x:c>
      <x:c r="D489" t="str">
        <x:f>INDEX(Customers!$B$2:$B$81,MATCH(C489,Customers!$A$2:$A$81,0))</x:f>
        <x:v>Customer 08</x:v>
      </x:c>
      <x:c r="E489" t="str">
        <x:f>INDEX(Customers!$C$2:$C$81,MATCH(C489,Customers!$A$2:$A$81,0))</x:f>
        <x:v>Corporate</x:v>
      </x:c>
      <x:c r="F489" t="str">
        <x:f>INDEX(Customers!$D$2:$D$81,MATCH(C489,Customers!$A$2:$A$81,0))</x:f>
        <x:v>West</x:v>
      </x:c>
      <x:c r="G489" t="str">
        <x:f>Raw_Orders!D489</x:f>
        <x:v>P009</x:v>
      </x:c>
      <x:c r="H489" t="str">
        <x:f>INDEX(Products!$B$2:$B$13,MATCH(G489,Products!$A$2:$A$13,0))</x:f>
        <x:v>Desk Lamp</x:v>
      </x:c>
      <x:c r="I489" t="str">
        <x:f>INDEX(Products!$C$2:$C$13,MATCH(G489,Products!$A$2:$A$13,0))</x:f>
        <x:v>Office</x:v>
      </x:c>
      <x:c r="J489" t="str">
        <x:f>Raw_Orders!G489</x:f>
        <x:v>Partner</x:v>
      </x:c>
      <x:c r="K489" t="n">
        <x:f>Raw_Orders!E489</x:f>
        <x:v>4</x:v>
      </x:c>
      <x:c r="L489" s="12" t="n">
        <x:f>Raw_Orders!F489</x:f>
        <x:v>0.05</x:v>
      </x:c>
      <x:c r="M489" s="14" t="n">
        <x:f>INDEX(Products!$D$2:$D$13,MATCH(G489,Products!$A$2:$A$13,0))</x:f>
        <x:v>70</x:v>
      </x:c>
      <x:c r="N489" s="14" t="n">
        <x:f>INDEX(Products!$E$2:$E$13,MATCH(G489,Products!$A$2:$A$13,0))</x:f>
        <x:v>29</x:v>
      </x:c>
      <x:c r="O489" s="14" t="n">
        <x:f>K489*M489</x:f>
        <x:v>280</x:v>
      </x:c>
      <x:c r="P489" s="14" t="n">
        <x:f>O489*(1-L489)</x:f>
        <x:v>266</x:v>
      </x:c>
      <x:c r="Q489" s="14" t="n">
        <x:f>K489*N489</x:f>
        <x:v>116</x:v>
      </x:c>
      <x:c r="R489" s="14" t="n">
        <x:f>P489-Q489</x:f>
        <x:v>150</x:v>
      </x:c>
      <x:c r="S489" s="16" t="n">
        <x:f>IFERROR(R489/P489,0)</x:f>
        <x:v>0.5639097744360902</x:v>
      </x:c>
    </x:row>
    <x:row r="490" ht="15" hidden="0" customHeight="1">
      <x:c r="A490" t="str">
        <x:f>Raw_Orders!A490</x:f>
        <x:v>O0489</x:v>
      </x:c>
      <x:c r="B490" s="10" t="n">
        <x:f>Raw_Orders!B490</x:f>
        <x:v>45929</x:v>
      </x:c>
      <x:c r="C490" t="str">
        <x:f>Raw_Orders!C490</x:f>
        <x:v>C018</x:v>
      </x:c>
      <x:c r="D490" t="str">
        <x:f>INDEX(Customers!$B$2:$B$81,MATCH(C490,Customers!$A$2:$A$81,0))</x:f>
        <x:v>Customer 18</x:v>
      </x:c>
      <x:c r="E490" t="str">
        <x:f>INDEX(Customers!$C$2:$C$81,MATCH(C490,Customers!$A$2:$A$81,0))</x:f>
        <x:v>Small Business</x:v>
      </x:c>
      <x:c r="F490" t="str">
        <x:f>INDEX(Customers!$D$2:$D$81,MATCH(C490,Customers!$A$2:$A$81,0))</x:f>
        <x:v>South</x:v>
      </x:c>
      <x:c r="G490" t="str">
        <x:f>Raw_Orders!D490</x:f>
        <x:v>P007</x:v>
      </x:c>
      <x:c r="H490" t="str">
        <x:f>INDEX(Products!$B$2:$B$13,MATCH(G490,Products!$A$2:$A$13,0))</x:f>
        <x:v>Ergonomic Chair</x:v>
      </x:c>
      <x:c r="I490" t="str">
        <x:f>INDEX(Products!$C$2:$C$13,MATCH(G490,Products!$A$2:$A$13,0))</x:f>
        <x:v>Office</x:v>
      </x:c>
      <x:c r="J490" t="str">
        <x:f>Raw_Orders!G490</x:f>
        <x:v>Online</x:v>
      </x:c>
      <x:c r="K490" t="n">
        <x:f>Raw_Orders!E490</x:f>
        <x:v>2</x:v>
      </x:c>
      <x:c r="L490" s="12" t="n">
        <x:f>Raw_Orders!F490</x:f>
        <x:v>0</x:v>
      </x:c>
      <x:c r="M490" s="14" t="n">
        <x:f>INDEX(Products!$D$2:$D$13,MATCH(G490,Products!$A$2:$A$13,0))</x:f>
        <x:v>390</x:v>
      </x:c>
      <x:c r="N490" s="14" t="n">
        <x:f>INDEX(Products!$E$2:$E$13,MATCH(G490,Products!$A$2:$A$13,0))</x:f>
        <x:v>245</x:v>
      </x:c>
      <x:c r="O490" s="14" t="n">
        <x:f>K490*M490</x:f>
        <x:v>780</x:v>
      </x:c>
      <x:c r="P490" s="14" t="n">
        <x:f>O490*(1-L490)</x:f>
        <x:v>780</x:v>
      </x:c>
      <x:c r="Q490" s="14" t="n">
        <x:f>K490*N490</x:f>
        <x:v>490</x:v>
      </x:c>
      <x:c r="R490" s="14" t="n">
        <x:f>P490-Q490</x:f>
        <x:v>290</x:v>
      </x:c>
      <x:c r="S490" s="16" t="n">
        <x:f>IFERROR(R490/P490,0)</x:f>
        <x:v>0.3717948717948718</x:v>
      </x:c>
    </x:row>
    <x:row r="491" ht="15" hidden="0" customHeight="1">
      <x:c r="A491" t="str">
        <x:f>Raw_Orders!A491</x:f>
        <x:v>O0490</x:v>
      </x:c>
      <x:c r="B491" s="10" t="n">
        <x:f>Raw_Orders!B491</x:f>
        <x:v>45827</x:v>
      </x:c>
      <x:c r="C491" t="str">
        <x:f>Raw_Orders!C491</x:f>
        <x:v>C011</x:v>
      </x:c>
      <x:c r="D491" t="str">
        <x:f>INDEX(Customers!$B$2:$B$81,MATCH(C491,Customers!$A$2:$A$81,0))</x:f>
        <x:v>Customer 11</x:v>
      </x:c>
      <x:c r="E491" t="str">
        <x:f>INDEX(Customers!$C$2:$C$81,MATCH(C491,Customers!$A$2:$A$81,0))</x:f>
        <x:v>Corporate</x:v>
      </x:c>
      <x:c r="F491" t="str">
        <x:f>INDEX(Customers!$D$2:$D$81,MATCH(C491,Customers!$A$2:$A$81,0))</x:f>
        <x:v>East</x:v>
      </x:c>
      <x:c r="G491" t="str">
        <x:f>Raw_Orders!D491</x:f>
        <x:v>P008</x:v>
      </x:c>
      <x:c r="H491" t="str">
        <x:f>INDEX(Products!$B$2:$B$13,MATCH(G491,Products!$A$2:$A$13,0))</x:f>
        <x:v>Webcam</x:v>
      </x:c>
      <x:c r="I491" t="str">
        <x:f>INDEX(Products!$C$2:$C$13,MATCH(G491,Products!$A$2:$A$13,0))</x:f>
        <x:v>Accessories</x:v>
      </x:c>
      <x:c r="J491" t="str">
        <x:f>Raw_Orders!G491</x:f>
        <x:v>Partner</x:v>
      </x:c>
      <x:c r="K491" t="n">
        <x:f>Raw_Orders!E491</x:f>
        <x:v>3</x:v>
      </x:c>
      <x:c r="L491" s="12" t="n">
        <x:f>Raw_Orders!F491</x:f>
        <x:v>0</x:v>
      </x:c>
      <x:c r="M491" s="14" t="n">
        <x:f>INDEX(Products!$D$2:$D$13,MATCH(G491,Products!$A$2:$A$13,0))</x:f>
        <x:v>95</x:v>
      </x:c>
      <x:c r="N491" s="14" t="n">
        <x:f>INDEX(Products!$E$2:$E$13,MATCH(G491,Products!$A$2:$A$13,0))</x:f>
        <x:v>49</x:v>
      </x:c>
      <x:c r="O491" s="14" t="n">
        <x:f>K491*M491</x:f>
        <x:v>285</x:v>
      </x:c>
      <x:c r="P491" s="14" t="n">
        <x:f>O491*(1-L491)</x:f>
        <x:v>285</x:v>
      </x:c>
      <x:c r="Q491" s="14" t="n">
        <x:f>K491*N491</x:f>
        <x:v>147</x:v>
      </x:c>
      <x:c r="R491" s="14" t="n">
        <x:f>P491-Q491</x:f>
        <x:v>138</x:v>
      </x:c>
      <x:c r="S491" s="16" t="n">
        <x:f>IFERROR(R491/P491,0)</x:f>
        <x:v>0.4842105263157895</x:v>
      </x:c>
    </x:row>
    <x:row r="492" ht="15" hidden="0" customHeight="1">
      <x:c r="A492" t="str">
        <x:f>Raw_Orders!A492</x:f>
        <x:v>O0491</x:v>
      </x:c>
      <x:c r="B492" s="10" t="n">
        <x:f>Raw_Orders!B492</x:f>
        <x:v>45755</x:v>
      </x:c>
      <x:c r="C492" t="str">
        <x:f>Raw_Orders!C492</x:f>
        <x:v>C007</x:v>
      </x:c>
      <x:c r="D492" t="str">
        <x:f>INDEX(Customers!$B$2:$B$81,MATCH(C492,Customers!$A$2:$A$81,0))</x:f>
        <x:v>Customer 07</x:v>
      </x:c>
      <x:c r="E492" t="str">
        <x:f>INDEX(Customers!$C$2:$C$81,MATCH(C492,Customers!$A$2:$A$81,0))</x:f>
        <x:v>Consumer</x:v>
      </x:c>
      <x:c r="F492" t="str">
        <x:f>INDEX(Customers!$D$2:$D$81,MATCH(C492,Customers!$A$2:$A$81,0))</x:f>
        <x:v>East</x:v>
      </x:c>
      <x:c r="G492" t="str">
        <x:f>Raw_Orders!D492</x:f>
        <x:v>P005</x:v>
      </x:c>
      <x:c r="H492" t="str">
        <x:f>INDEX(Products!$B$2:$B$13,MATCH(G492,Products!$A$2:$A$13,0))</x:f>
        <x:v>27in Monitor</x:v>
      </x:c>
      <x:c r="I492" t="str">
        <x:f>INDEX(Products!$C$2:$C$13,MATCH(G492,Products!$A$2:$A$13,0))</x:f>
        <x:v>Displays</x:v>
      </x:c>
      <x:c r="J492" t="str">
        <x:f>Raw_Orders!G492</x:f>
        <x:v>Partner</x:v>
      </x:c>
      <x:c r="K492" t="n">
        <x:f>Raw_Orders!E492</x:f>
        <x:v>4</x:v>
      </x:c>
      <x:c r="L492" s="12" t="n">
        <x:f>Raw_Orders!F492</x:f>
        <x:v>0.15</x:v>
      </x:c>
      <x:c r="M492" s="14" t="n">
        <x:f>INDEX(Products!$D$2:$D$13,MATCH(G492,Products!$A$2:$A$13,0))</x:f>
        <x:v>310</x:v>
      </x:c>
      <x:c r="N492" s="14" t="n">
        <x:f>INDEX(Products!$E$2:$E$13,MATCH(G492,Products!$A$2:$A$13,0))</x:f>
        <x:v>205</x:v>
      </x:c>
      <x:c r="O492" s="14" t="n">
        <x:f>K492*M492</x:f>
        <x:v>1240</x:v>
      </x:c>
      <x:c r="P492" s="14" t="n">
        <x:f>O492*(1-L492)</x:f>
        <x:v>1054</x:v>
      </x:c>
      <x:c r="Q492" s="14" t="n">
        <x:f>K492*N492</x:f>
        <x:v>820</x:v>
      </x:c>
      <x:c r="R492" s="14" t="n">
        <x:f>P492-Q492</x:f>
        <x:v>234</x:v>
      </x:c>
      <x:c r="S492" s="16" t="n">
        <x:f>IFERROR(R492/P492,0)</x:f>
        <x:v>0.222011385199241</x:v>
      </x:c>
    </x:row>
    <x:row r="493" ht="15" hidden="0" customHeight="1">
      <x:c r="A493" t="str">
        <x:f>Raw_Orders!A493</x:f>
        <x:v>O0492</x:v>
      </x:c>
      <x:c r="B493" s="10" t="n">
        <x:f>Raw_Orders!B493</x:f>
        <x:v>45966</x:v>
      </x:c>
      <x:c r="C493" t="str">
        <x:f>Raw_Orders!C493</x:f>
        <x:v>C006</x:v>
      </x:c>
      <x:c r="D493" t="str">
        <x:f>INDEX(Customers!$B$2:$B$81,MATCH(C493,Customers!$A$2:$A$81,0))</x:f>
        <x:v>Customer 06</x:v>
      </x:c>
      <x:c r="E493" t="str">
        <x:f>INDEX(Customers!$C$2:$C$81,MATCH(C493,Customers!$A$2:$A$81,0))</x:f>
        <x:v>Small Business</x:v>
      </x:c>
      <x:c r="F493" t="str">
        <x:f>INDEX(Customers!$D$2:$D$81,MATCH(C493,Customers!$A$2:$A$81,0))</x:f>
        <x:v>South</x:v>
      </x:c>
      <x:c r="G493" t="str">
        <x:f>Raw_Orders!D493</x:f>
        <x:v>P002</x:v>
      </x:c>
      <x:c r="H493" t="str">
        <x:f>INDEX(Products!$B$2:$B$13,MATCH(G493,Products!$A$2:$A$13,0))</x:f>
        <x:v>Mechanical Keyboard</x:v>
      </x:c>
      <x:c r="I493" t="str">
        <x:f>INDEX(Products!$C$2:$C$13,MATCH(G493,Products!$A$2:$A$13,0))</x:f>
        <x:v>Accessories</x:v>
      </x:c>
      <x:c r="J493" t="str">
        <x:f>Raw_Orders!G493</x:f>
        <x:v>Partner</x:v>
      </x:c>
      <x:c r="K493" t="n">
        <x:f>Raw_Orders!E493</x:f>
        <x:v>2</x:v>
      </x:c>
      <x:c r="L493" s="12" t="n">
        <x:f>Raw_Orders!F493</x:f>
        <x:v>0.1</x:v>
      </x:c>
      <x:c r="M493" s="14" t="n">
        <x:f>INDEX(Products!$D$2:$D$13,MATCH(G493,Products!$A$2:$A$13,0))</x:f>
        <x:v>110</x:v>
      </x:c>
      <x:c r="N493" s="14" t="n">
        <x:f>INDEX(Products!$E$2:$E$13,MATCH(G493,Products!$A$2:$A$13,0))</x:f>
        <x:v>58</x:v>
      </x:c>
      <x:c r="O493" s="14" t="n">
        <x:f>K493*M493</x:f>
        <x:v>220</x:v>
      </x:c>
      <x:c r="P493" s="14" t="n">
        <x:f>O493*(1-L493)</x:f>
        <x:v>198</x:v>
      </x:c>
      <x:c r="Q493" s="14" t="n">
        <x:f>K493*N493</x:f>
        <x:v>116</x:v>
      </x:c>
      <x:c r="R493" s="14" t="n">
        <x:f>P493-Q493</x:f>
        <x:v>82</x:v>
      </x:c>
      <x:c r="S493" s="16" t="n">
        <x:f>IFERROR(R493/P493,0)</x:f>
        <x:v>0.41414141414141414</x:v>
      </x:c>
    </x:row>
    <x:row r="494" ht="15" hidden="0" customHeight="1">
      <x:c r="A494" t="str">
        <x:f>Raw_Orders!A494</x:f>
        <x:v>O0493</x:v>
      </x:c>
      <x:c r="B494" s="10" t="n">
        <x:f>Raw_Orders!B494</x:f>
        <x:v>46001</x:v>
      </x:c>
      <x:c r="C494" t="str">
        <x:f>Raw_Orders!C494</x:f>
        <x:v>C072</x:v>
      </x:c>
      <x:c r="D494" t="str">
        <x:f>INDEX(Customers!$B$2:$B$81,MATCH(C494,Customers!$A$2:$A$81,0))</x:f>
        <x:v>Customer 72</x:v>
      </x:c>
      <x:c r="E494" t="str">
        <x:f>INDEX(Customers!$C$2:$C$81,MATCH(C494,Customers!$A$2:$A$81,0))</x:f>
        <x:v>Small Business</x:v>
      </x:c>
      <x:c r="F494" t="str">
        <x:f>INDEX(Customers!$D$2:$D$81,MATCH(C494,Customers!$A$2:$A$81,0))</x:f>
        <x:v>West</x:v>
      </x:c>
      <x:c r="G494" t="str">
        <x:f>Raw_Orders!D494</x:f>
        <x:v>P004</x:v>
      </x:c>
      <x:c r="H494" t="str">
        <x:f>INDEX(Products!$B$2:$B$13,MATCH(G494,Products!$A$2:$A$13,0))</x:f>
        <x:v>24in Monitor</x:v>
      </x:c>
      <x:c r="I494" t="str">
        <x:f>INDEX(Products!$C$2:$C$13,MATCH(G494,Products!$A$2:$A$13,0))</x:f>
        <x:v>Displays</x:v>
      </x:c>
      <x:c r="J494" t="str">
        <x:f>Raw_Orders!G494</x:f>
        <x:v>Retail</x:v>
      </x:c>
      <x:c r="K494" t="n">
        <x:f>Raw_Orders!E494</x:f>
        <x:v>4</x:v>
      </x:c>
      <x:c r="L494" s="12" t="n">
        <x:f>Raw_Orders!F494</x:f>
        <x:v>0</x:v>
      </x:c>
      <x:c r="M494" s="14" t="n">
        <x:f>INDEX(Products!$D$2:$D$13,MATCH(G494,Products!$A$2:$A$13,0))</x:f>
        <x:v>220</x:v>
      </x:c>
      <x:c r="N494" s="14" t="n">
        <x:f>INDEX(Products!$E$2:$E$13,MATCH(G494,Products!$A$2:$A$13,0))</x:f>
        <x:v>142</x:v>
      </x:c>
      <x:c r="O494" s="14" t="n">
        <x:f>K494*M494</x:f>
        <x:v>880</x:v>
      </x:c>
      <x:c r="P494" s="14" t="n">
        <x:f>O494*(1-L494)</x:f>
        <x:v>880</x:v>
      </x:c>
      <x:c r="Q494" s="14" t="n">
        <x:f>K494*N494</x:f>
        <x:v>568</x:v>
      </x:c>
      <x:c r="R494" s="14" t="n">
        <x:f>P494-Q494</x:f>
        <x:v>312</x:v>
      </x:c>
      <x:c r="S494" s="16" t="n">
        <x:f>IFERROR(R494/P494,0)</x:f>
        <x:v>0.35454545454545455</x:v>
      </x:c>
    </x:row>
    <x:row r="495" ht="15" hidden="0" customHeight="1">
      <x:c r="A495" t="str">
        <x:f>Raw_Orders!A495</x:f>
        <x:v>O0494</x:v>
      </x:c>
      <x:c r="B495" s="10" t="n">
        <x:f>Raw_Orders!B495</x:f>
        <x:v>45813</x:v>
      </x:c>
      <x:c r="C495" t="str">
        <x:f>Raw_Orders!C495</x:f>
        <x:v>C002</x:v>
      </x:c>
      <x:c r="D495" t="str">
        <x:f>INDEX(Customers!$B$2:$B$81,MATCH(C495,Customers!$A$2:$A$81,0))</x:f>
        <x:v>Customer 02</x:v>
      </x:c>
      <x:c r="E495" t="str">
        <x:f>INDEX(Customers!$C$2:$C$81,MATCH(C495,Customers!$A$2:$A$81,0))</x:f>
        <x:v>Corporate</x:v>
      </x:c>
      <x:c r="F495" t="str">
        <x:f>INDEX(Customers!$D$2:$D$81,MATCH(C495,Customers!$A$2:$A$81,0))</x:f>
        <x:v>South</x:v>
      </x:c>
      <x:c r="G495" t="str">
        <x:f>Raw_Orders!D495</x:f>
        <x:v>P004</x:v>
      </x:c>
      <x:c r="H495" t="str">
        <x:f>INDEX(Products!$B$2:$B$13,MATCH(G495,Products!$A$2:$A$13,0))</x:f>
        <x:v>24in Monitor</x:v>
      </x:c>
      <x:c r="I495" t="str">
        <x:f>INDEX(Products!$C$2:$C$13,MATCH(G495,Products!$A$2:$A$13,0))</x:f>
        <x:v>Displays</x:v>
      </x:c>
      <x:c r="J495" t="str">
        <x:f>Raw_Orders!G495</x:f>
        <x:v>Online</x:v>
      </x:c>
      <x:c r="K495" t="n">
        <x:f>Raw_Orders!E495</x:f>
        <x:v>2</x:v>
      </x:c>
      <x:c r="L495" s="12" t="n">
        <x:f>Raw_Orders!F495</x:f>
        <x:v>0.15</x:v>
      </x:c>
      <x:c r="M495" s="14" t="n">
        <x:f>INDEX(Products!$D$2:$D$13,MATCH(G495,Products!$A$2:$A$13,0))</x:f>
        <x:v>220</x:v>
      </x:c>
      <x:c r="N495" s="14" t="n">
        <x:f>INDEX(Products!$E$2:$E$13,MATCH(G495,Products!$A$2:$A$13,0))</x:f>
        <x:v>142</x:v>
      </x:c>
      <x:c r="O495" s="14" t="n">
        <x:f>K495*M495</x:f>
        <x:v>440</x:v>
      </x:c>
      <x:c r="P495" s="14" t="n">
        <x:f>O495*(1-L495)</x:f>
        <x:v>374</x:v>
      </x:c>
      <x:c r="Q495" s="14" t="n">
        <x:f>K495*N495</x:f>
        <x:v>284</x:v>
      </x:c>
      <x:c r="R495" s="14" t="n">
        <x:f>P495-Q495</x:f>
        <x:v>90</x:v>
      </x:c>
      <x:c r="S495" s="16" t="n">
        <x:f>IFERROR(R495/P495,0)</x:f>
        <x:v>0.24064171122994651</x:v>
      </x:c>
    </x:row>
    <x:row r="496" ht="15" hidden="0" customHeight="1">
      <x:c r="A496" t="str">
        <x:f>Raw_Orders!A496</x:f>
        <x:v>O0495</x:v>
      </x:c>
      <x:c r="B496" s="10" t="n">
        <x:f>Raw_Orders!B496</x:f>
        <x:v>45903</x:v>
      </x:c>
      <x:c r="C496" t="str">
        <x:f>Raw_Orders!C496</x:f>
        <x:v>C032</x:v>
      </x:c>
      <x:c r="D496" t="str">
        <x:f>INDEX(Customers!$B$2:$B$81,MATCH(C496,Customers!$A$2:$A$81,0))</x:f>
        <x:v>Customer 32</x:v>
      </x:c>
      <x:c r="E496" t="str">
        <x:f>INDEX(Customers!$C$2:$C$81,MATCH(C496,Customers!$A$2:$A$81,0))</x:f>
        <x:v>Corporate</x:v>
      </x:c>
      <x:c r="F496" t="str">
        <x:f>INDEX(Customers!$D$2:$D$81,MATCH(C496,Customers!$A$2:$A$81,0))</x:f>
        <x:v>West</x:v>
      </x:c>
      <x:c r="G496" t="str">
        <x:f>Raw_Orders!D496</x:f>
        <x:v>P012</x:v>
      </x:c>
      <x:c r="H496" t="str">
        <x:f>INDEX(Products!$B$2:$B$13,MATCH(G496,Products!$A$2:$A$13,0))</x:f>
        <x:v>Docking Station</x:v>
      </x:c>
      <x:c r="I496" t="str">
        <x:f>INDEX(Products!$C$2:$C$13,MATCH(G496,Products!$A$2:$A$13,0))</x:f>
        <x:v>Accessories</x:v>
      </x:c>
      <x:c r="J496" t="str">
        <x:f>Raw_Orders!G496</x:f>
        <x:v>Online</x:v>
      </x:c>
      <x:c r="K496" t="n">
        <x:f>Raw_Orders!E496</x:f>
        <x:v>5</x:v>
      </x:c>
      <x:c r="L496" s="12" t="n">
        <x:f>Raw_Orders!F496</x:f>
        <x:v>0.15</x:v>
      </x:c>
      <x:c r="M496" s="14" t="n">
        <x:f>INDEX(Products!$D$2:$D$13,MATCH(G496,Products!$A$2:$A$13,0))</x:f>
        <x:v>180</x:v>
      </x:c>
      <x:c r="N496" s="14" t="n">
        <x:f>INDEX(Products!$E$2:$E$13,MATCH(G496,Products!$A$2:$A$13,0))</x:f>
        <x:v>104</x:v>
      </x:c>
      <x:c r="O496" s="14" t="n">
        <x:f>K496*M496</x:f>
        <x:v>900</x:v>
      </x:c>
      <x:c r="P496" s="14" t="n">
        <x:f>O496*(1-L496)</x:f>
        <x:v>765</x:v>
      </x:c>
      <x:c r="Q496" s="14" t="n">
        <x:f>K496*N496</x:f>
        <x:v>520</x:v>
      </x:c>
      <x:c r="R496" s="14" t="n">
        <x:f>P496-Q496</x:f>
        <x:v>245</x:v>
      </x:c>
      <x:c r="S496" s="16" t="n">
        <x:f>IFERROR(R496/P496,0)</x:f>
        <x:v>0.3202614379084967</x:v>
      </x:c>
    </x:row>
    <x:row r="497" ht="15" hidden="0" customHeight="1">
      <x:c r="A497" t="str">
        <x:f>Raw_Orders!A497</x:f>
        <x:v>O0496</x:v>
      </x:c>
      <x:c r="B497" s="10" t="n">
        <x:f>Raw_Orders!B497</x:f>
        <x:v>45861</x:v>
      </x:c>
      <x:c r="C497" t="str">
        <x:f>Raw_Orders!C497</x:f>
        <x:v>C031</x:v>
      </x:c>
      <x:c r="D497" t="str">
        <x:f>INDEX(Customers!$B$2:$B$81,MATCH(C497,Customers!$A$2:$A$81,0))</x:f>
        <x:v>Customer 31</x:v>
      </x:c>
      <x:c r="E497" t="str">
        <x:f>INDEX(Customers!$C$2:$C$81,MATCH(C497,Customers!$A$2:$A$81,0))</x:f>
        <x:v>Consumer</x:v>
      </x:c>
      <x:c r="F497" t="str">
        <x:f>INDEX(Customers!$D$2:$D$81,MATCH(C497,Customers!$A$2:$A$81,0))</x:f>
        <x:v>East</x:v>
      </x:c>
      <x:c r="G497" t="str">
        <x:f>Raw_Orders!D497</x:f>
        <x:v>P009</x:v>
      </x:c>
      <x:c r="H497" t="str">
        <x:f>INDEX(Products!$B$2:$B$13,MATCH(G497,Products!$A$2:$A$13,0))</x:f>
        <x:v>Desk Lamp</x:v>
      </x:c>
      <x:c r="I497" t="str">
        <x:f>INDEX(Products!$C$2:$C$13,MATCH(G497,Products!$A$2:$A$13,0))</x:f>
        <x:v>Office</x:v>
      </x:c>
      <x:c r="J497" t="str">
        <x:f>Raw_Orders!G497</x:f>
        <x:v>Retail</x:v>
      </x:c>
      <x:c r="K497" t="n">
        <x:f>Raw_Orders!E497</x:f>
        <x:v>3</x:v>
      </x:c>
      <x:c r="L497" s="12" t="n">
        <x:f>Raw_Orders!F497</x:f>
        <x:v>0</x:v>
      </x:c>
      <x:c r="M497" s="14" t="n">
        <x:f>INDEX(Products!$D$2:$D$13,MATCH(G497,Products!$A$2:$A$13,0))</x:f>
        <x:v>70</x:v>
      </x:c>
      <x:c r="N497" s="14" t="n">
        <x:f>INDEX(Products!$E$2:$E$13,MATCH(G497,Products!$A$2:$A$13,0))</x:f>
        <x:v>29</x:v>
      </x:c>
      <x:c r="O497" s="14" t="n">
        <x:f>K497*M497</x:f>
        <x:v>210</x:v>
      </x:c>
      <x:c r="P497" s="14" t="n">
        <x:f>O497*(1-L497)</x:f>
        <x:v>210</x:v>
      </x:c>
      <x:c r="Q497" s="14" t="n">
        <x:f>K497*N497</x:f>
        <x:v>87</x:v>
      </x:c>
      <x:c r="R497" s="14" t="n">
        <x:f>P497-Q497</x:f>
        <x:v>123</x:v>
      </x:c>
      <x:c r="S497" s="16" t="n">
        <x:f>IFERROR(R497/P497,0)</x:f>
        <x:v>0.5857142857142857</x:v>
      </x:c>
    </x:row>
    <x:row r="498" ht="15" hidden="0" customHeight="1">
      <x:c r="A498" t="str">
        <x:f>Raw_Orders!A498</x:f>
        <x:v>O0497</x:v>
      </x:c>
      <x:c r="B498" s="10" t="n">
        <x:f>Raw_Orders!B498</x:f>
        <x:v>45896</x:v>
      </x:c>
      <x:c r="C498" t="str">
        <x:f>Raw_Orders!C498</x:f>
        <x:v>C069</x:v>
      </x:c>
      <x:c r="D498" t="str">
        <x:f>INDEX(Customers!$B$2:$B$81,MATCH(C498,Customers!$A$2:$A$81,0))</x:f>
        <x:v>Customer 69</x:v>
      </x:c>
      <x:c r="E498" t="str">
        <x:f>INDEX(Customers!$C$2:$C$81,MATCH(C498,Customers!$A$2:$A$81,0))</x:f>
        <x:v>Small Business</x:v>
      </x:c>
      <x:c r="F498" t="str">
        <x:f>INDEX(Customers!$D$2:$D$81,MATCH(C498,Customers!$A$2:$A$81,0))</x:f>
        <x:v>North</x:v>
      </x:c>
      <x:c r="G498" t="str">
        <x:f>Raw_Orders!D498</x:f>
        <x:v>P011</x:v>
      </x:c>
      <x:c r="H498" t="str">
        <x:f>INDEX(Products!$B$2:$B$13,MATCH(G498,Products!$A$2:$A$13,0))</x:f>
        <x:v>External HDD</x:v>
      </x:c>
      <x:c r="I498" t="str">
        <x:f>INDEX(Products!$C$2:$C$13,MATCH(G498,Products!$A$2:$A$13,0))</x:f>
        <x:v>Storage</x:v>
      </x:c>
      <x:c r="J498" t="str">
        <x:f>Raw_Orders!G498</x:f>
        <x:v>Retail</x:v>
      </x:c>
      <x:c r="K498" t="n">
        <x:f>Raw_Orders!E498</x:f>
        <x:v>3</x:v>
      </x:c>
      <x:c r="L498" s="12" t="n">
        <x:f>Raw_Orders!F498</x:f>
        <x:v>0</x:v>
      </x:c>
      <x:c r="M498" s="14" t="n">
        <x:f>INDEX(Products!$D$2:$D$13,MATCH(G498,Products!$A$2:$A$13,0))</x:f>
        <x:v>120</x:v>
      </x:c>
      <x:c r="N498" s="14" t="n">
        <x:f>INDEX(Products!$E$2:$E$13,MATCH(G498,Products!$A$2:$A$13,0))</x:f>
        <x:v>72</x:v>
      </x:c>
      <x:c r="O498" s="14" t="n">
        <x:f>K498*M498</x:f>
        <x:v>360</x:v>
      </x:c>
      <x:c r="P498" s="14" t="n">
        <x:f>O498*(1-L498)</x:f>
        <x:v>360</x:v>
      </x:c>
      <x:c r="Q498" s="14" t="n">
        <x:f>K498*N498</x:f>
        <x:v>216</x:v>
      </x:c>
      <x:c r="R498" s="14" t="n">
        <x:f>P498-Q498</x:f>
        <x:v>144</x:v>
      </x:c>
      <x:c r="S498" s="16" t="n">
        <x:f>IFERROR(R498/P498,0)</x:f>
        <x:v>0.4</x:v>
      </x:c>
    </x:row>
    <x:row r="499" ht="15" hidden="0" customHeight="1">
      <x:c r="A499" t="str">
        <x:f>Raw_Orders!A499</x:f>
        <x:v>O0498</x:v>
      </x:c>
      <x:c r="B499" s="10" t="n">
        <x:f>Raw_Orders!B499</x:f>
        <x:v>45842</x:v>
      </x:c>
      <x:c r="C499" t="str">
        <x:f>Raw_Orders!C499</x:f>
        <x:v>C066</x:v>
      </x:c>
      <x:c r="D499" t="str">
        <x:f>INDEX(Customers!$B$2:$B$81,MATCH(C499,Customers!$A$2:$A$81,0))</x:f>
        <x:v>Customer 66</x:v>
      </x:c>
      <x:c r="E499" t="str">
        <x:f>INDEX(Customers!$C$2:$C$81,MATCH(C499,Customers!$A$2:$A$81,0))</x:f>
        <x:v>Small Business</x:v>
      </x:c>
      <x:c r="F499" t="str">
        <x:f>INDEX(Customers!$D$2:$D$81,MATCH(C499,Customers!$A$2:$A$81,0))</x:f>
        <x:v>South</x:v>
      </x:c>
      <x:c r="G499" t="str">
        <x:f>Raw_Orders!D499</x:f>
        <x:v>P008</x:v>
      </x:c>
      <x:c r="H499" t="str">
        <x:f>INDEX(Products!$B$2:$B$13,MATCH(G499,Products!$A$2:$A$13,0))</x:f>
        <x:v>Webcam</x:v>
      </x:c>
      <x:c r="I499" t="str">
        <x:f>INDEX(Products!$C$2:$C$13,MATCH(G499,Products!$A$2:$A$13,0))</x:f>
        <x:v>Accessories</x:v>
      </x:c>
      <x:c r="J499" t="str">
        <x:f>Raw_Orders!G499</x:f>
        <x:v>Partner</x:v>
      </x:c>
      <x:c r="K499" t="n">
        <x:f>Raw_Orders!E499</x:f>
        <x:v>4</x:v>
      </x:c>
      <x:c r="L499" s="12" t="n">
        <x:f>Raw_Orders!F499</x:f>
        <x:v>0</x:v>
      </x:c>
      <x:c r="M499" s="14" t="n">
        <x:f>INDEX(Products!$D$2:$D$13,MATCH(G499,Products!$A$2:$A$13,0))</x:f>
        <x:v>95</x:v>
      </x:c>
      <x:c r="N499" s="14" t="n">
        <x:f>INDEX(Products!$E$2:$E$13,MATCH(G499,Products!$A$2:$A$13,0))</x:f>
        <x:v>49</x:v>
      </x:c>
      <x:c r="O499" s="14" t="n">
        <x:f>K499*M499</x:f>
        <x:v>380</x:v>
      </x:c>
      <x:c r="P499" s="14" t="n">
        <x:f>O499*(1-L499)</x:f>
        <x:v>380</x:v>
      </x:c>
      <x:c r="Q499" s="14" t="n">
        <x:f>K499*N499</x:f>
        <x:v>196</x:v>
      </x:c>
      <x:c r="R499" s="14" t="n">
        <x:f>P499-Q499</x:f>
        <x:v>184</x:v>
      </x:c>
      <x:c r="S499" s="16" t="n">
        <x:f>IFERROR(R499/P499,0)</x:f>
        <x:v>0.4842105263157895</x:v>
      </x:c>
    </x:row>
    <x:row r="500" ht="15" hidden="0" customHeight="1">
      <x:c r="A500" t="str">
        <x:f>Raw_Orders!A500</x:f>
        <x:v>O0499</x:v>
      </x:c>
      <x:c r="B500" s="10" t="n">
        <x:f>Raw_Orders!B500</x:f>
        <x:v>45898</x:v>
      </x:c>
      <x:c r="C500" t="str">
        <x:f>Raw_Orders!C500</x:f>
        <x:v>C041</x:v>
      </x:c>
      <x:c r="D500" t="str">
        <x:f>INDEX(Customers!$B$2:$B$81,MATCH(C500,Customers!$A$2:$A$81,0))</x:f>
        <x:v>Customer 41</x:v>
      </x:c>
      <x:c r="E500" t="str">
        <x:f>INDEX(Customers!$C$2:$C$81,MATCH(C500,Customers!$A$2:$A$81,0))</x:f>
        <x:v>Corporate</x:v>
      </x:c>
      <x:c r="F500" t="str">
        <x:f>INDEX(Customers!$D$2:$D$81,MATCH(C500,Customers!$A$2:$A$81,0))</x:f>
        <x:v>North</x:v>
      </x:c>
      <x:c r="G500" t="str">
        <x:f>Raw_Orders!D500</x:f>
        <x:v>P004</x:v>
      </x:c>
      <x:c r="H500" t="str">
        <x:f>INDEX(Products!$B$2:$B$13,MATCH(G500,Products!$A$2:$A$13,0))</x:f>
        <x:v>24in Monitor</x:v>
      </x:c>
      <x:c r="I500" t="str">
        <x:f>INDEX(Products!$C$2:$C$13,MATCH(G500,Products!$A$2:$A$13,0))</x:f>
        <x:v>Displays</x:v>
      </x:c>
      <x:c r="J500" t="str">
        <x:f>Raw_Orders!G500</x:f>
        <x:v>Retail</x:v>
      </x:c>
      <x:c r="K500" t="n">
        <x:f>Raw_Orders!E500</x:f>
        <x:v>3</x:v>
      </x:c>
      <x:c r="L500" s="12" t="n">
        <x:f>Raw_Orders!F500</x:f>
        <x:v>0</x:v>
      </x:c>
      <x:c r="M500" s="14" t="n">
        <x:f>INDEX(Products!$D$2:$D$13,MATCH(G500,Products!$A$2:$A$13,0))</x:f>
        <x:v>220</x:v>
      </x:c>
      <x:c r="N500" s="14" t="n">
        <x:f>INDEX(Products!$E$2:$E$13,MATCH(G500,Products!$A$2:$A$13,0))</x:f>
        <x:v>142</x:v>
      </x:c>
      <x:c r="O500" s="14" t="n">
        <x:f>K500*M500</x:f>
        <x:v>660</x:v>
      </x:c>
      <x:c r="P500" s="14" t="n">
        <x:f>O500*(1-L500)</x:f>
        <x:v>660</x:v>
      </x:c>
      <x:c r="Q500" s="14" t="n">
        <x:f>K500*N500</x:f>
        <x:v>426</x:v>
      </x:c>
      <x:c r="R500" s="14" t="n">
        <x:f>P500-Q500</x:f>
        <x:v>234</x:v>
      </x:c>
      <x:c r="S500" s="16" t="n">
        <x:f>IFERROR(R500/P500,0)</x:f>
        <x:v>0.35454545454545455</x:v>
      </x:c>
    </x:row>
    <x:row r="501" ht="15" hidden="0" customHeight="1">
      <x:c r="A501" t="str">
        <x:f>Raw_Orders!A501</x:f>
        <x:v>O0500</x:v>
      </x:c>
      <x:c r="B501" s="10" t="n">
        <x:f>Raw_Orders!B501</x:f>
        <x:v>45681</x:v>
      </x:c>
      <x:c r="C501" t="str">
        <x:f>Raw_Orders!C501</x:f>
        <x:v>C073</x:v>
      </x:c>
      <x:c r="D501" t="str">
        <x:f>INDEX(Customers!$B$2:$B$81,MATCH(C501,Customers!$A$2:$A$81,0))</x:f>
        <x:v>Customer 73</x:v>
      </x:c>
      <x:c r="E501" t="str">
        <x:f>INDEX(Customers!$C$2:$C$81,MATCH(C501,Customers!$A$2:$A$81,0))</x:f>
        <x:v>Consumer</x:v>
      </x:c>
      <x:c r="F501" t="str">
        <x:f>INDEX(Customers!$D$2:$D$81,MATCH(C501,Customers!$A$2:$A$81,0))</x:f>
        <x:v>North</x:v>
      </x:c>
      <x:c r="G501" t="str">
        <x:f>Raw_Orders!D501</x:f>
        <x:v>P004</x:v>
      </x:c>
      <x:c r="H501" t="str">
        <x:f>INDEX(Products!$B$2:$B$13,MATCH(G501,Products!$A$2:$A$13,0))</x:f>
        <x:v>24in Monitor</x:v>
      </x:c>
      <x:c r="I501" t="str">
        <x:f>INDEX(Products!$C$2:$C$13,MATCH(G501,Products!$A$2:$A$13,0))</x:f>
        <x:v>Displays</x:v>
      </x:c>
      <x:c r="J501" t="str">
        <x:f>Raw_Orders!G501</x:f>
        <x:v>Online</x:v>
      </x:c>
      <x:c r="K501" t="n">
        <x:f>Raw_Orders!E501</x:f>
        <x:v>6</x:v>
      </x:c>
      <x:c r="L501" s="12" t="n">
        <x:f>Raw_Orders!F501</x:f>
        <x:v>0</x:v>
      </x:c>
      <x:c r="M501" s="14" t="n">
        <x:f>INDEX(Products!$D$2:$D$13,MATCH(G501,Products!$A$2:$A$13,0))</x:f>
        <x:v>220</x:v>
      </x:c>
      <x:c r="N501" s="14" t="n">
        <x:f>INDEX(Products!$E$2:$E$13,MATCH(G501,Products!$A$2:$A$13,0))</x:f>
        <x:v>142</x:v>
      </x:c>
      <x:c r="O501" s="14" t="n">
        <x:f>K501*M501</x:f>
        <x:v>1320</x:v>
      </x:c>
      <x:c r="P501" s="14" t="n">
        <x:f>O501*(1-L501)</x:f>
        <x:v>1320</x:v>
      </x:c>
      <x:c r="Q501" s="14" t="n">
        <x:f>K501*N501</x:f>
        <x:v>852</x:v>
      </x:c>
      <x:c r="R501" s="14" t="n">
        <x:f>P501-Q501</x:f>
        <x:v>468</x:v>
      </x:c>
      <x:c r="S501" s="16" t="n">
        <x:f>IFERROR(R501/P501,0)</x:f>
        <x:v>0.35454545454545455</x:v>
      </x:c>
    </x:row>
  </x:sheetData>
  <x:conditionalFormatting sqref="R2:R50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S2:S501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{F025F05D-0A5A-16CE-81AD-C07B3052F933}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f9f78eba251413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F025F05D-0A5A-16CE-81AD-C07B3052F933}">
            <x14:dataBar gradient="1">
              <x14:cfvo type="min"/>
              <x14:cfvo type="max"/>
              <x14:fillColor rgb="FFA02B93"/>
            </x14:dataBar>
          </x14:cfRule>
          <xm:sqref>S2:S501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4" max="4" width="22" hidden="0" customWidth="1"/>
    <x:col min="5" max="5" width="22" hidden="0" customWidth="1"/>
    <x:col min="6" max="6" width="22" hidden="0" customWidth="1"/>
    <x:col min="3" max="3" width="22" hidden="0" customWidth="1"/>
  </x:cols>
  <x:sheetData>
    <x:row r="1">
      <x:c r="A1" s="20" t="str">
        <x:v>SALES &amp; CUSTOMER PERFORMANCE DASHBOARD</x:v>
      </x:c>
      <x:c r="B1" s="20"/>
      <x:c r="C1" s="20"/>
      <x:c r="D1" s="20"/>
      <x:c r="E1" s="20"/>
      <x:c r="F1" s="20"/>
      <x:c r="G1" s="20"/>
      <x:c r="H1" s="20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/>
    <x:row r="4" ht="15" hidden="0" customHeight="1">
      <x:c r="A4" s="5" t="str">
        <x:v>KPI</x:v>
      </x:c>
      <x:c r="B4" s="5" t="str">
        <x:v>Value</x:v>
      </x:c>
      <x:c r="D4" s="5" t="str">
        <x:v>Region</x:v>
      </x:c>
      <x:c r="E4" s="5" t="str">
        <x:v>Net Sales</x:v>
      </x:c>
      <x:c r="F4" s="5" t="str">
        <x:v>Profit</x:v>
      </x:c>
    </x:row>
    <x:row r="5" ht="15" hidden="0" customHeight="1">
      <x:c r="A5" s="25" t="str">
        <x:v>Total Net Sales</x:v>
      </x:c>
      <x:c r="B5" s="28" t="n">
        <x:f>SUM(Model!P2:P501)</x:f>
        <x:v>248339.5</x:v>
      </x:c>
      <x:c r="D5" t="str">
        <x:v>North</x:v>
      </x:c>
      <x:c r="E5" s="28" t="n">
        <x:f>SUMIF(Model!$F$2:$F$501,D5,Model!$P$2:$P$501)</x:f>
        <x:v>59306.75</x:v>
      </x:c>
      <x:c r="F5" s="28" t="n">
        <x:f>SUMIF(Model!$F$2:$F$501,D5,Model!$R$2:$R$501)</x:f>
        <x:v>23368.75</x:v>
      </x:c>
    </x:row>
    <x:row r="6" ht="15" hidden="0" customHeight="1">
      <x:c r="A6" s="25" t="str">
        <x:v>Total Profit</x:v>
      </x:c>
      <x:c r="B6" s="28" t="n">
        <x:f>SUM(Model!R2:R501)</x:f>
        <x:v>94498.5</x:v>
      </x:c>
      <x:c r="D6" t="str">
        <x:v>South</x:v>
      </x:c>
      <x:c r="E6" s="28" t="n">
        <x:f>SUMIF(Model!$F$2:$F$501,D6,Model!$P$2:$P$501)</x:f>
        <x:v>64768</x:v>
      </x:c>
      <x:c r="F6" s="28" t="n">
        <x:f>SUMIF(Model!$F$2:$F$501,D6,Model!$R$2:$R$501)</x:f>
        <x:v>24426</x:v>
      </x:c>
    </x:row>
    <x:row r="7" ht="15" hidden="0" customHeight="1">
      <x:c r="A7" s="25" t="str">
        <x:v>Profit Margin</x:v>
      </x:c>
      <x:c r="B7" s="16" t="n">
        <x:f>IFERROR(B6/B5,0)</x:f>
        <x:v>0.3805214232935155</x:v>
      </x:c>
      <x:c r="D7" t="str">
        <x:v>East</x:v>
      </x:c>
      <x:c r="E7" s="28" t="n">
        <x:f>SUMIF(Model!$F$2:$F$501,D7,Model!$P$2:$P$501)</x:f>
        <x:v>62746.25</x:v>
      </x:c>
      <x:c r="F7" s="28" t="n">
        <x:f>SUMIF(Model!$F$2:$F$501,D7,Model!$R$2:$R$501)</x:f>
        <x:v>23395.25</x:v>
      </x:c>
    </x:row>
    <x:row r="8" ht="15" hidden="0" customHeight="1">
      <x:c r="A8" s="25" t="str">
        <x:v>Orders</x:v>
      </x:c>
      <x:c r="B8" t="n">
        <x:f>COUNTA(Model!A2:A501)</x:f>
        <x:v>500</x:v>
      </x:c>
      <x:c r="D8" t="str">
        <x:v>West</x:v>
      </x:c>
      <x:c r="E8" s="28" t="n">
        <x:f>SUMIF(Model!$F$2:$F$501,D8,Model!$P$2:$P$501)</x:f>
        <x:v>61518.5</x:v>
      </x:c>
      <x:c r="F8" s="28" t="n">
        <x:f>SUMIF(Model!$F$2:$F$501,D8,Model!$R$2:$R$501)</x:f>
        <x:v>23308.5</x:v>
      </x:c>
    </x:row>
    <x:row r="9" ht="15" hidden="0" customHeight="1">
      <x:c r="A9" s="25" t="str">
        <x:v>Average Order Value</x:v>
      </x:c>
      <x:c r="B9" s="14" t="n">
        <x:f>IFERROR(B5/B8,0)</x:f>
        <x:v>496.679</x:v>
      </x:c>
    </x:row>
    <x:row r="10"/>
    <x:row r="11" ht="15" hidden="0" customHeight="1">
      <x:c r="D11" s="5" t="str">
        <x:v>Category</x:v>
      </x:c>
      <x:c r="E11" s="5" t="str">
        <x:v>Net Sales</x:v>
      </x:c>
      <x:c r="F11" s="5" t="str">
        <x:v>Profit</x:v>
      </x:c>
    </x:row>
    <x:row r="12" ht="15" hidden="0" customHeight="1">
      <x:c r="A12" s="5" t="str">
        <x:v>Skills Demonstrated</x:v>
      </x:c>
      <x:c r="B12" s="5" t="str"/>
      <x:c r="D12" t="str">
        <x:v>Accessories</x:v>
      </x:c>
      <x:c r="E12" s="28" t="n">
        <x:f>SUMIF(Model!$I$2:$I$501,D12,Model!$P$2:$P$501)</x:f>
        <x:v>63870.5</x:v>
      </x:c>
      <x:c r="F12" s="28" t="n">
        <x:f>SUMIF(Model!$I$2:$I$501,D12,Model!$R$2:$R$501)</x:f>
        <x:v>28079.5</x:v>
      </x:c>
    </x:row>
    <x:row r="13" ht="15" hidden="0" customHeight="1">
      <x:c r="A13" t="str">
        <x:v>• Relational data structure (Orders, Customers, Products)</x:v>
      </x:c>
      <x:c r="D13" t="str">
        <x:v>Displays</x:v>
      </x:c>
      <x:c r="E13" s="28" t="n">
        <x:f>SUMIF(Model!$I$2:$I$501,D13,Model!$P$2:$P$501)</x:f>
        <x:v>65670.5</x:v>
      </x:c>
      <x:c r="F13" s="28" t="n">
        <x:f>SUMIF(Model!$I$2:$I$501,D13,Model!$R$2:$R$501)</x:f>
        <x:v>21015.5</x:v>
      </x:c>
    </x:row>
    <x:row r="14" ht="15" hidden="0" customHeight="1">
      <x:c r="A14" t="str">
        <x:v>• INDEX/MATCH lookups across dimension tables</x:v>
      </x:c>
      <x:c r="D14" t="str">
        <x:v>Office</x:v>
      </x:c>
      <x:c r="E14" s="28" t="n">
        <x:f>SUMIF(Model!$I$2:$I$501,D14,Model!$P$2:$P$501)</x:f>
        <x:v>74544</x:v>
      </x:c>
      <x:c r="F14" s="28" t="n">
        <x:f>SUMIF(Model!$I$2:$I$501,D14,Model!$R$2:$R$501)</x:f>
        <x:v>28901</x:v>
      </x:c>
    </x:row>
    <x:row r="15" ht="15" hidden="0" customHeight="1">
      <x:c r="A15" t="str">
        <x:v>• Formula-driven revenue, cost, profit and margin calculations</x:v>
      </x:c>
      <x:c r="D15" t="str">
        <x:v>Storage</x:v>
      </x:c>
      <x:c r="E15" s="28" t="n">
        <x:f>SUMIF(Model!$I$2:$I$501,D15,Model!$P$2:$P$501)</x:f>
        <x:v>44254.5</x:v>
      </x:c>
      <x:c r="F15" s="28" t="n">
        <x:f>SUMIF(Model!$I$2:$I$501,D15,Model!$R$2:$R$501)</x:f>
        <x:v>16502.5</x:v>
      </x:c>
    </x:row>
    <x:row r="16" ht="15" hidden="0" customHeight="1">
      <x:c r="A16" t="str">
        <x:v>• SUMIF KPI aggregation and business analysis</x:v>
      </x:c>
    </x:row>
    <x:row r="17" ht="15" hidden="0" customHeight="1">
      <x:c r="A17" t="str">
        <x:v>• Excel Tables, number formatting and dashboard charts</x:v>
      </x:c>
    </x:row>
    <x:row r="18" ht="15" hidden="0" customHeight="1">
      <x:c r="A18" t="str">
        <x:v>• Clean separation of raw data, dimensions, model and reporting</x:v>
      </x:c>
    </x:row>
  </x:sheetData>
  <x:mergeCells>
    <x:mergeCell ref="A1:H2"/>
    <x:mergeCell ref="A12:B12"/>
    <x:mergeCell ref="A13:F13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  <x:drawing xmlns:r="http://schemas.openxmlformats.org/officeDocument/2006/relationships" r:id="R6421adc92b904db9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</x:cols>
  <x:sheetData>
    <x:row r="1" ht="15" hidden="0" customHeight="1">
      <x:c r="A1" s="5" t="str">
        <x:v>PROJECT GUIDE</x:v>
      </x:c>
      <x:c r="B1" s="32" t="str"/>
    </x:row>
    <x:row r="2" ht="15" hidden="0" customHeight="1">
      <x:c r="A2" s="30" t="str">
        <x:v>Project</x:v>
      </x:c>
      <x:c r="B2" s="33" t="str">
        <x:v>Sales &amp; Customer Performance Data Model</x:v>
      </x:c>
    </x:row>
    <x:row r="3" ht="15" hidden="0" customHeight="1">
      <x:c r="A3" s="30" t="str">
        <x:v>Purpose</x:v>
      </x:c>
      <x:c r="B3" s="33" t="str">
        <x:v>Portfolio project demonstrating spreadsheet analysis and practical data-modeling skills.</x:v>
      </x:c>
    </x:row>
    <x:row r="4" ht="15" hidden="0" customHeight="1">
      <x:c r="A4" s="5" t="str">
        <x:v>Workbook Structure</x:v>
      </x:c>
      <x:c r="B4" s="32" t="str"/>
    </x:row>
    <x:row r="5" ht="15" hidden="0" customHeight="1">
      <x:c r="A5" s="30" t="str">
        <x:v>Raw_Orders</x:v>
      </x:c>
      <x:c r="B5" s="33" t="str">
        <x:v>Transaction-level source data (500 synthetic orders).</x:v>
      </x:c>
    </x:row>
    <x:row r="6" ht="15" hidden="0" customHeight="1">
      <x:c r="A6" s="30" t="str">
        <x:v>Customers</x:v>
      </x:c>
      <x:c r="B6" s="33" t="str">
        <x:v>Customer dimension table with segment and region.</x:v>
      </x:c>
    </x:row>
    <x:row r="7" ht="15" hidden="0" customHeight="1">
      <x:c r="A7" s="30" t="str">
        <x:v>Products</x:v>
      </x:c>
      <x:c r="B7" s="33" t="str">
        <x:v>Product dimension table with category, price and cost.</x:v>
      </x:c>
    </x:row>
    <x:row r="8" ht="15" hidden="0" customHeight="1">
      <x:c r="A8" s="30" t="str">
        <x:v>Model</x:v>
      </x:c>
      <x:c r="B8" s="33" t="str">
        <x:v>Joined analytical model using formulas and calculated business metrics.</x:v>
      </x:c>
    </x:row>
    <x:row r="9" ht="15" hidden="0" customHeight="1">
      <x:c r="A9" s="30" t="str">
        <x:v>Dashboard</x:v>
      </x:c>
      <x:c r="B9" s="33" t="str">
        <x:v>KPI summary and charts for decision-making.</x:v>
      </x:c>
    </x:row>
    <x:row r="10" ht="15" hidden="0" customHeight="1">
      <x:c r="A10" s="30" t="str">
        <x:v>Key Skills</x:v>
      </x:c>
      <x:c r="B10" s="33" t="str">
        <x:v>Excel Tables, INDEX/MATCH, SUMIF, IFERROR, calculated metrics, relational modeling, dashboards.</x:v>
      </x:c>
    </x:row>
    <x:row r="11" ht="15" hidden="0" customHeight="1">
      <x:c r="A11" s="30" t="str">
        <x:v>Important</x:v>
      </x:c>
      <x:c r="B11" s="33" t="str">
        <x:v>All data in this workbook is synthetic and created solely for portfolio demonstration.</x:v>
      </x:c>
    </x:row>
  </x:sheetData>
  <x:pageMargins left="0.7" right="0.7" top="0.75" bottom="0.75" header="0.3" footer="0.3"/>
</x:worksheet>
</file>